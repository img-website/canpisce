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Work/Desktop/"/>
    </mc:Choice>
  </mc:AlternateContent>
  <xr:revisionPtr revIDLastSave="0" documentId="13_ncr:1_{BBA7AA02-29B9-354E-9771-0287EC604AFC}" xr6:coauthVersionLast="47" xr6:coauthVersionMax="47" xr10:uidLastSave="{00000000-0000-0000-0000-000000000000}"/>
  <bookViews>
    <workbookView xWindow="0" yWindow="500" windowWidth="33600" windowHeight="20500" xr2:uid="{1D52E5A9-0151-C84D-AF8B-B33B11221F07}"/>
  </bookViews>
  <sheets>
    <sheet name="Timesheet - August 25" sheetId="1" r:id="rId1"/>
    <sheet name="Expenses for August" sheetId="2" r:id="rId2"/>
  </sheets>
  <definedNames>
    <definedName name="_xlnm._FilterDatabase" localSheetId="1" hidden="1">'Expenses for August'!$B$4:$E$18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1" l="1"/>
  <c r="C24" i="1"/>
  <c r="F15" i="1"/>
  <c r="C44" i="1" l="1"/>
  <c r="C14" i="1"/>
  <c r="F14" i="1" s="1"/>
  <c r="E18" i="2"/>
  <c r="C16" i="1"/>
  <c r="F16" i="1" s="1"/>
  <c r="C17" i="1"/>
  <c r="F17" i="1" s="1"/>
  <c r="C18" i="1"/>
  <c r="F18" i="1" s="1"/>
  <c r="C19" i="1"/>
  <c r="F19" i="1" s="1"/>
  <c r="C20" i="1"/>
  <c r="F20" i="1"/>
  <c r="C21" i="1"/>
  <c r="C22" i="1"/>
  <c r="F22" i="1"/>
  <c r="C23" i="1"/>
  <c r="F23" i="1"/>
  <c r="F24" i="1"/>
  <c r="C25" i="1"/>
  <c r="F25" i="1"/>
  <c r="C26" i="1"/>
  <c r="F26" i="1" s="1"/>
  <c r="C27" i="1"/>
  <c r="F27" i="1"/>
  <c r="C28" i="1"/>
  <c r="F28" i="1" s="1"/>
  <c r="C29" i="1"/>
  <c r="F29" i="1" s="1"/>
  <c r="C30" i="1"/>
  <c r="F30" i="1"/>
  <c r="C31" i="1"/>
  <c r="F31" i="1" s="1"/>
  <c r="C32" i="1"/>
  <c r="F32" i="1" s="1"/>
  <c r="C33" i="1"/>
  <c r="F33" i="1" s="1"/>
  <c r="C34" i="1"/>
  <c r="F34" i="1" s="1"/>
  <c r="C35" i="1"/>
  <c r="C36" i="1"/>
  <c r="F36" i="1" s="1"/>
  <c r="C37" i="1"/>
  <c r="F37" i="1" s="1"/>
  <c r="C38" i="1"/>
  <c r="F38" i="1" s="1"/>
  <c r="C39" i="1"/>
  <c r="F39" i="1" s="1"/>
  <c r="C40" i="1"/>
  <c r="F40" i="1" s="1"/>
  <c r="F41" i="1"/>
  <c r="C42" i="1"/>
  <c r="C43" i="1"/>
  <c r="F43" i="1"/>
  <c r="F44" i="1" l="1"/>
  <c r="F42" i="1"/>
  <c r="F35" i="1"/>
  <c r="F21" i="1"/>
  <c r="F45" i="1" l="1"/>
</calcChain>
</file>

<file path=xl/sharedStrings.xml><?xml version="1.0" encoding="utf-8"?>
<sst xmlns="http://schemas.openxmlformats.org/spreadsheetml/2006/main" count="125" uniqueCount="73">
  <si>
    <t>Hrs</t>
  </si>
  <si>
    <t>Total hours invested</t>
  </si>
  <si>
    <t>NuTaste</t>
  </si>
  <si>
    <t>`</t>
  </si>
  <si>
    <t>Time In</t>
  </si>
  <si>
    <t>Time Invested</t>
  </si>
  <si>
    <t>Work Done</t>
  </si>
  <si>
    <t>Name of client</t>
  </si>
  <si>
    <t>Day</t>
  </si>
  <si>
    <t>Date</t>
  </si>
  <si>
    <t>Sanmanya Sharma</t>
  </si>
  <si>
    <t>Employee Name</t>
  </si>
  <si>
    <t xml:space="preserve">NuTaste </t>
  </si>
  <si>
    <t>Project Name</t>
  </si>
  <si>
    <t>New Delhi-110024</t>
  </si>
  <si>
    <t>D-105, Ground Floor, Defence Colony,</t>
  </si>
  <si>
    <t>Canpisce Consulting Pvt. Ltd.</t>
  </si>
  <si>
    <t>Total</t>
  </si>
  <si>
    <t>Amount</t>
  </si>
  <si>
    <t>Remarks</t>
  </si>
  <si>
    <t>Date of invoice</t>
  </si>
  <si>
    <t>Description</t>
  </si>
  <si>
    <t>WEEK OFF</t>
  </si>
  <si>
    <t>Food Delivery Invoice</t>
  </si>
  <si>
    <t>Grocery Invoice</t>
  </si>
  <si>
    <t>RAKSHA BANDHAN</t>
  </si>
  <si>
    <t>INDEPENDENCE DAY</t>
  </si>
  <si>
    <t xml:space="preserve">DMS. Spend Data Analysis. Liquid Line Capacity Visualisation New. </t>
  </si>
  <si>
    <t xml:space="preserve">DMS. Spend Analysis; . Liquid Line Capacity Visualisation New. </t>
  </si>
  <si>
    <t>Buffer Penetration Meeting. DMS. 2X2 Matrix for Items going into multiple SKUs, High Lead Time and Single Sourced - MTA/MTO/KANBAN bifurcation.
Refining Logistics Contracts for Spend Analysis</t>
  </si>
  <si>
    <t>Buffer Penetration Meeting. DMS. 2X2 Matrix for Items going into multiple SKUs, High Lead Time and Single Sourced bifurcation. Meeting with Production for Log Sheet and 2S/5S Layout
Refining Logistics Contracts for Spend Analysis</t>
  </si>
  <si>
    <t>19:00</t>
  </si>
  <si>
    <t>DMS. Spend Analysis - Generating Softcopies from Prints to format and update into a spreadsheet. Internal DMS with Amit sir - 2X2 Matrix based on No. of SKUs, Lead Time and Supply Base</t>
  </si>
  <si>
    <t>DMS. ERP new changes testing with Pranav sir, D&amp;T Team and respective stakeholders.</t>
  </si>
  <si>
    <t>DMS. ERP new changes testing with Pranav sir, Ravi from IG, D&amp;T Team and respective stakeholders.</t>
  </si>
  <si>
    <t>Discussion for challenges faced by production planner with MPS. DMS. Getting Shift Data (April '25 to August '25) for Updated Liquid Line Capacity Analysis.</t>
  </si>
  <si>
    <t>DMS. Spend Data Analysis. QA/QC TAT calculation from data provided by D&amp;T.</t>
  </si>
  <si>
    <t>Saturday</t>
  </si>
  <si>
    <t>DMS. Getting Work Centre Data from Vijay for Liquid Line Capacity April '25 to August '25 and getting the data verified for new entries</t>
  </si>
  <si>
    <t>DMS. Freight Data from Finance; understanding the fields. +ve -ve Cycle Count Adjustment Trend with Chirag. Getting contracts for logistics spend analysis</t>
  </si>
  <si>
    <t xml:space="preserve">DMS. MTO Time Buffer Penetration Report Update; Sorting in Descending order specification sent to D&amp;T. </t>
  </si>
  <si>
    <t>DMS. Mapping FGs to their source Items and getting No. of SKUs an item is going into, mapping Supply Base and Lead Time for these Items from the list shared by Satish</t>
  </si>
  <si>
    <t xml:space="preserve">DMS. Update on KAIZEN with Vijay sir and team. </t>
  </si>
  <si>
    <t>Buffer Penetration Meeting. DMS.
Refining Logistics Contracts for Spend Analysis; getting invoices from Nov 24' to August '25. MTO Items OTIF Non-Fulfilment Investigation with Monika</t>
  </si>
  <si>
    <t>Buffer Penetration Meeting. DMS.
Refining Logistics Contracts for Spend Analysis; getting invoices from Nov 24' to August '25. MTA Items OTIF Non-Fulfilment Investigation with Monika. Mapping MTA RM/PM Buffer Status Trend for fast moving items (Pareto by value).</t>
  </si>
  <si>
    <t>Invoices (August 2025)</t>
  </si>
  <si>
    <t xml:space="preserve">Buffer Penetration Meeting. DMS.
Refining Logistics Contracts for Spend Analysis; getting invoices from Nov 24' to August '25. MTA Items OTIF Non-Fulfilment Investigation with Monika. Mapping MTA RM/PM Buffer Status Trend for fast moving items (Pareto by </t>
  </si>
  <si>
    <t xml:space="preserve">S&amp;OP Daily Management and Buffer Penetration Discussion. DMS. Updated OTIF Non-Fulfilment Analysis for July. </t>
  </si>
  <si>
    <t>S&amp;OP Daily Management and Buffer Penetration Discussion. DMS. Vendor Reliability Rating Discussion with Procurement, Quality and SNOP.</t>
  </si>
  <si>
    <t>Buffer Penetration. MTA Trend Analysis: Reasons for OTIF Non-Fulfilment classification and Pivot. Buffer Trend of FG against the FG that failed OTIF. RM/PM Buffer Trend against FG that failed OTIF.</t>
  </si>
  <si>
    <t>Buffer Penetration Meeting. DMS. MTA Buffer Trend Analysis, Mapping FG to RM/PM Buffer. Consolidating Reasons for OTIF Failure given by SNOP.</t>
  </si>
  <si>
    <t>Caretaker Not Available</t>
  </si>
  <si>
    <t>Groceries for the Guest House.</t>
  </si>
  <si>
    <t>Food Delivery Invoice 2</t>
  </si>
  <si>
    <t>Grocery Invoice 1</t>
  </si>
  <si>
    <t>Grocery Invoice 2</t>
  </si>
  <si>
    <t>Grocery Invoice 3</t>
  </si>
  <si>
    <t>Food Delivery Invoice (Split for 2)</t>
  </si>
  <si>
    <t>Bill Sr. No.</t>
  </si>
  <si>
    <t>S1</t>
  </si>
  <si>
    <t>S2</t>
  </si>
  <si>
    <t>S3</t>
  </si>
  <si>
    <t>S4</t>
  </si>
  <si>
    <t>S5</t>
  </si>
  <si>
    <t>S6</t>
  </si>
  <si>
    <t>S7</t>
  </si>
  <si>
    <t>S8</t>
  </si>
  <si>
    <t>S9</t>
  </si>
  <si>
    <t>S10</t>
  </si>
  <si>
    <t>S11</t>
  </si>
  <si>
    <t>S12</t>
  </si>
  <si>
    <t>S13</t>
  </si>
  <si>
    <t>Detailed Time Sheet from 1 August to 31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</si>
</sst>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h:mm:ss;@"/>
    <numFmt numFmtId="165" formatCode="0.000000"/>
    <numFmt numFmtId="166" formatCode="dd/mm/yy;@"/>
  </numFmts>
  <fonts count="15">
    <font>
      <sz val="11"/>
      <color theme="1"/>
      <name val="Adani Regular"/>
      <family val="2"/>
    </font>
    <font>
      <sz val="12"/>
      <color rgb="FF006100"/>
      <name val="Aptos Narrow"/>
      <family val="2"/>
      <scheme val="minor"/>
    </font>
    <font>
      <sz val="14"/>
      <color theme="1"/>
      <name val="Adani Regular"/>
      <family val="2"/>
    </font>
    <font>
      <sz val="14"/>
      <color rgb="FFFFFFFF"/>
      <name val="Adani Regular"/>
      <family val="2"/>
    </font>
    <font>
      <sz val="14"/>
      <color rgb="FF000000"/>
      <name val="Calibri"/>
      <family val="2"/>
    </font>
    <font>
      <b/>
      <sz val="14"/>
      <color rgb="FF000000"/>
      <name val="Calibri"/>
      <family val="2"/>
    </font>
    <font>
      <b/>
      <sz val="12"/>
      <color theme="9" tint="-0.499984740745262"/>
      <name val="Adani Regular"/>
      <family val="2"/>
    </font>
    <font>
      <b/>
      <sz val="12"/>
      <color theme="9" tint="-0.499984740745262"/>
      <name val="Calibri"/>
      <family val="2"/>
    </font>
    <font>
      <sz val="14"/>
      <color rgb="FFFF0000"/>
      <name val="Calibri"/>
      <family val="2"/>
    </font>
    <font>
      <b/>
      <sz val="18"/>
      <color theme="1"/>
      <name val="Aptos Narrow"/>
      <family val="2"/>
      <scheme val="minor"/>
    </font>
    <font>
      <sz val="18"/>
      <color theme="1"/>
      <name val="Adani Regular"/>
      <family val="2"/>
    </font>
    <font>
      <sz val="18"/>
      <color theme="1"/>
      <name val="Aptos Narrow"/>
      <family val="2"/>
      <scheme val="minor"/>
    </font>
    <font>
      <sz val="12"/>
      <color theme="3"/>
      <name val="Aptos Narrow"/>
      <family val="2"/>
      <scheme val="minor"/>
    </font>
    <font>
      <sz val="11"/>
      <color theme="3"/>
      <name val="Adani Regular"/>
      <family val="2"/>
    </font>
    <font>
      <sz val="8"/>
      <name val="Adani Regular"/>
      <family val="2"/>
    </font>
  </fonts>
  <fills count="6">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theme="7" tint="0.79998168889431442"/>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rgb="FF000000"/>
      </right>
      <top style="thin">
        <color theme="7" tint="0.39997558519241921"/>
      </top>
      <bottom style="thin">
        <color theme="7" tint="0.39997558519241921"/>
      </bottom>
      <diagonal/>
    </border>
    <border>
      <left style="medium">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51">
    <xf numFmtId="0" fontId="0" fillId="0" borderId="0" xfId="0"/>
    <xf numFmtId="0" fontId="2" fillId="0" borderId="0" xfId="0" applyFont="1"/>
    <xf numFmtId="0" fontId="2" fillId="0" borderId="0" xfId="0" applyFont="1" applyAlignment="1">
      <alignment horizontal="center"/>
    </xf>
    <xf numFmtId="164" fontId="2" fillId="0" borderId="0" xfId="0" applyNumberFormat="1" applyFont="1" applyAlignment="1">
      <alignment horizontal="center"/>
    </xf>
    <xf numFmtId="164" fontId="3" fillId="0" borderId="0" xfId="0" applyNumberFormat="1" applyFont="1" applyAlignment="1">
      <alignment horizontal="center"/>
    </xf>
    <xf numFmtId="164" fontId="4" fillId="0" borderId="1" xfId="0" applyNumberFormat="1" applyFont="1" applyBorder="1" applyAlignment="1">
      <alignment horizontal="center" wrapText="1"/>
    </xf>
    <xf numFmtId="0" fontId="0" fillId="0" borderId="1" xfId="0" applyBorder="1" applyAlignment="1">
      <alignment horizontal="center" wrapText="1"/>
    </xf>
    <xf numFmtId="0" fontId="5" fillId="0" borderId="1" xfId="0" applyFont="1" applyBorder="1" applyAlignment="1">
      <alignment wrapText="1"/>
    </xf>
    <xf numFmtId="20"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wrapText="1"/>
    </xf>
    <xf numFmtId="0" fontId="6" fillId="0" borderId="0" xfId="0" applyFont="1" applyAlignment="1">
      <alignment horizontal="center" vertical="center"/>
    </xf>
    <xf numFmtId="15" fontId="0" fillId="0" borderId="0" xfId="0" applyNumberFormat="1" applyAlignment="1">
      <alignment horizontal="center" vertical="center"/>
    </xf>
    <xf numFmtId="164"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7"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0" borderId="0" xfId="0" applyFont="1" applyAlignment="1">
      <alignment horizontal="center" wrapText="1"/>
    </xf>
    <xf numFmtId="164" fontId="4" fillId="0" borderId="0" xfId="0" applyNumberFormat="1" applyFont="1" applyAlignment="1">
      <alignment horizontal="center" wrapText="1"/>
    </xf>
    <xf numFmtId="0" fontId="4" fillId="0" borderId="0" xfId="0" applyFont="1" applyAlignment="1">
      <alignment wrapText="1"/>
    </xf>
    <xf numFmtId="0" fontId="5" fillId="0" borderId="0" xfId="0" applyFont="1" applyAlignment="1">
      <alignment wrapText="1"/>
    </xf>
    <xf numFmtId="0" fontId="8" fillId="0" borderId="0" xfId="0" applyFont="1" applyAlignment="1">
      <alignment horizontal="center" wrapText="1"/>
    </xf>
    <xf numFmtId="15" fontId="0" fillId="0" borderId="0" xfId="0" applyNumberFormat="1"/>
    <xf numFmtId="0" fontId="0" fillId="0" borderId="4" xfId="0" applyBorder="1"/>
    <xf numFmtId="15" fontId="0" fillId="0" borderId="4" xfId="0" applyNumberFormat="1" applyBorder="1"/>
    <xf numFmtId="2" fontId="9" fillId="0" borderId="1" xfId="0" applyNumberFormat="1" applyFont="1" applyBorder="1" applyAlignment="1">
      <alignment horizontal="center"/>
    </xf>
    <xf numFmtId="0" fontId="11" fillId="0" borderId="1" xfId="0" applyFont="1" applyBorder="1" applyAlignment="1">
      <alignment horizontal="center"/>
    </xf>
    <xf numFmtId="0" fontId="9" fillId="0" borderId="1" xfId="0" applyFont="1" applyBorder="1" applyAlignment="1">
      <alignment horizontal="center"/>
    </xf>
    <xf numFmtId="166" fontId="0" fillId="0" borderId="0" xfId="0" applyNumberFormat="1"/>
    <xf numFmtId="166" fontId="9" fillId="0" borderId="1" xfId="0" applyNumberFormat="1" applyFont="1" applyBorder="1" applyAlignment="1">
      <alignment horizontal="center"/>
    </xf>
    <xf numFmtId="166" fontId="10" fillId="0" borderId="1" xfId="0" applyNumberFormat="1" applyFont="1" applyBorder="1"/>
    <xf numFmtId="166" fontId="0" fillId="0" borderId="4" xfId="0" applyNumberFormat="1" applyBorder="1"/>
    <xf numFmtId="0" fontId="12" fillId="0" borderId="0" xfId="1" applyFont="1" applyFill="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center" vertical="center" wrapText="1"/>
    </xf>
    <xf numFmtId="0" fontId="12" fillId="0" borderId="0" xfId="1" applyFont="1" applyFill="1" applyAlignment="1">
      <alignment horizontal="center" vertical="center"/>
    </xf>
    <xf numFmtId="0" fontId="12" fillId="4" borderId="0" xfId="1" applyFont="1" applyFill="1" applyAlignment="1">
      <alignment horizontal="center" vertical="center" wrapText="1"/>
    </xf>
    <xf numFmtId="0" fontId="0" fillId="4" borderId="0" xfId="0" applyFill="1" applyAlignment="1">
      <alignment horizontal="center" vertical="center" wrapText="1"/>
    </xf>
    <xf numFmtId="0" fontId="13" fillId="4" borderId="0" xfId="0" applyFont="1" applyFill="1" applyAlignment="1">
      <alignment horizontal="center" vertical="center" wrapText="1"/>
    </xf>
    <xf numFmtId="20" fontId="0" fillId="5" borderId="5" xfId="0" applyNumberFormat="1" applyFill="1" applyBorder="1" applyAlignment="1">
      <alignment horizontal="center" vertical="center"/>
    </xf>
    <xf numFmtId="0" fontId="10" fillId="0" borderId="1" xfId="0" applyFont="1" applyBorder="1" applyAlignment="1">
      <alignment horizontal="center"/>
    </xf>
    <xf numFmtId="0" fontId="10" fillId="0" borderId="1" xfId="0" applyFont="1" applyBorder="1" applyAlignment="1">
      <alignment horizontal="left"/>
    </xf>
    <xf numFmtId="0" fontId="5" fillId="0" borderId="0" xfId="0" applyFont="1" applyAlignment="1">
      <alignment horizontal="left" wrapText="1"/>
    </xf>
    <xf numFmtId="0" fontId="4" fillId="0" borderId="0" xfId="0" applyFont="1" applyAlignment="1">
      <alignment wrapText="1"/>
    </xf>
    <xf numFmtId="0" fontId="4" fillId="0" borderId="0" xfId="0" applyFont="1" applyAlignment="1">
      <alignment horizontal="center" wrapText="1"/>
    </xf>
    <xf numFmtId="165" fontId="4" fillId="0" borderId="0" xfId="0" applyNumberFormat="1" applyFont="1" applyAlignment="1">
      <alignment horizontal="center" wrapText="1"/>
    </xf>
    <xf numFmtId="0" fontId="4" fillId="0" borderId="0" xfId="0" applyFont="1" applyAlignment="1">
      <alignment horizontal="center" vertical="center" wrapText="1"/>
    </xf>
    <xf numFmtId="0" fontId="9" fillId="3" borderId="6" xfId="0" applyFont="1" applyFill="1" applyBorder="1" applyAlignment="1">
      <alignment horizontal="center"/>
    </xf>
    <xf numFmtId="0" fontId="9" fillId="3" borderId="7" xfId="0" applyFont="1" applyFill="1" applyBorder="1" applyAlignment="1">
      <alignment horizontal="center"/>
    </xf>
    <xf numFmtId="0" fontId="9" fillId="0" borderId="1" xfId="0" applyFont="1" applyBorder="1" applyAlignment="1"/>
    <xf numFmtId="0" fontId="0" fillId="0" borderId="8" xfId="0" applyBorder="1"/>
  </cellXfs>
  <cellStyles count="2">
    <cellStyle name="Good" xfId="1" builtinId="26"/>
    <cellStyle name="Normal" xfId="0" builtinId="0"/>
  </cellStyles>
  <dxfs count="25">
    <dxf>
      <font>
        <color rgb="FF9C0006"/>
      </font>
      <fill>
        <patternFill>
          <bgColor rgb="FFFFC7CE"/>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ill>
        <patternFill>
          <bgColor theme="6" tint="0.79998168889431442"/>
        </patternFill>
      </fill>
    </dxf>
    <dxf>
      <font>
        <color rgb="FF9C0006"/>
      </font>
      <fill>
        <patternFill>
          <bgColor rgb="FFFFC7CE"/>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9" tint="0.59996337778862885"/>
        </patternFill>
      </fill>
    </dxf>
    <dxf>
      <numFmt numFmtId="25" formatCode="hh:mm"/>
      <fill>
        <patternFill patternType="none">
          <fgColor indexed="64"/>
          <bgColor auto="1"/>
        </patternFill>
      </fill>
      <alignment horizontal="center" vertical="center" textRotation="0" wrapText="0" indent="0" justifyLastLine="0" shrinkToFit="0" readingOrder="0"/>
    </dxf>
    <dxf>
      <numFmt numFmtId="164" formatCode="hh:mm:ss;@"/>
      <fill>
        <patternFill patternType="none">
          <fgColor indexed="64"/>
          <bgColor auto="1"/>
        </patternFill>
      </fill>
      <alignment horizontal="center" vertical="center" textRotation="0" wrapText="0" indent="0" justifyLastLine="0" shrinkToFit="0" readingOrder="0"/>
    </dxf>
    <dxf>
      <numFmt numFmtId="25" formatCode="hh:mm"/>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strike val="0"/>
        <outline val="0"/>
        <shadow val="0"/>
        <u val="none"/>
        <vertAlign val="baseline"/>
        <sz val="12"/>
        <color theme="9" tint="-0.499984740745262"/>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theme="3"/>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fgColor indexed="64"/>
          <bgColor auto="1"/>
        </patternFill>
      </fill>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4"/>
        <color rgb="FF000000"/>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805AAC-8089-8543-AAC5-4C0214910861}" name="Table13" displayName="Table13" ref="B13:H44" totalsRowShown="0" headerRowDxfId="24" dataDxfId="22" headerRowBorderDxfId="23" tableBorderDxfId="21" totalsRowBorderDxfId="20" dataCellStyle="Normal">
  <autoFilter ref="B13:H44" xr:uid="{4FC8EB3C-7713-EE49-A8D6-26D0DBF00197}"/>
  <tableColumns count="7">
    <tableColumn id="1" xr3:uid="{C6D7D863-9C5C-C34C-B013-EA2130378483}" name="Date" dataDxfId="19" dataCellStyle="Normal"/>
    <tableColumn id="2" xr3:uid="{2B445A16-C309-F74B-A116-C30E0419F3E4}" name="Day" dataDxfId="18" dataCellStyle="Normal">
      <calculatedColumnFormula>TEXT(B14,"DDDD")</calculatedColumnFormula>
    </tableColumn>
    <tableColumn id="3" xr3:uid="{1313E5DD-42B5-6A4B-9575-DCECC13B9BD4}" name="Name of client" dataDxfId="17" dataCellStyle="Normal"/>
    <tableColumn id="4" xr3:uid="{90B9447B-6C3F-764D-B9C9-C99B73F6B2B4}" name="Work Done" dataDxfId="16" dataCellStyle="Normal"/>
    <tableColumn id="5" xr3:uid="{A395D877-3C8A-E746-ABA0-67779F14BA6D}" name="Time Invested" dataDxfId="15" dataCellStyle="Normal">
      <calculatedColumnFormula>IF(Table13[[#This Row],[Work Done]]="WEEK OFF", "00:00", Table13[[#This Row],[19:00]]-Table13[[#This Row],[Time In]])</calculatedColumnFormula>
    </tableColumn>
    <tableColumn id="6" xr3:uid="{6F472C81-7AD2-724C-971A-039259A6ECF2}" name="Time In" dataDxfId="14" dataCellStyle="Normal"/>
    <tableColumn id="7" xr3:uid="{8B4DABA9-5A8D-E44A-B61B-CB3F337DD4C3}" name="19:00" dataDxfId="13" dataCellStyle="Normal"/>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B0484-65D3-4544-8992-64DF40F40EDC}">
  <dimension ref="B5:K46"/>
  <sheetViews>
    <sheetView tabSelected="1" topLeftCell="A36" zoomScale="113" workbookViewId="0">
      <selection activeCell="E48" sqref="E48"/>
    </sheetView>
  </sheetViews>
  <sheetFormatPr baseColWidth="10" defaultRowHeight="18"/>
  <cols>
    <col min="1" max="1" width="10.83203125" style="1"/>
    <col min="2" max="2" width="15.33203125" style="1" customWidth="1"/>
    <col min="3" max="3" width="15.1640625" style="1" bestFit="1" customWidth="1"/>
    <col min="4" max="4" width="26.83203125" style="1" customWidth="1"/>
    <col min="5" max="5" width="48.1640625" style="1" customWidth="1"/>
    <col min="6" max="6" width="13.5" style="2" customWidth="1"/>
    <col min="7" max="7" width="10.83203125" style="3"/>
    <col min="8" max="8" width="13.83203125" style="2" bestFit="1" customWidth="1"/>
    <col min="9" max="16384" width="10.83203125" style="1"/>
  </cols>
  <sheetData>
    <row r="5" spans="2:8" ht="19">
      <c r="B5" s="42" t="s">
        <v>16</v>
      </c>
      <c r="C5" s="42"/>
      <c r="D5" s="17"/>
      <c r="E5" s="19"/>
      <c r="F5" s="17"/>
      <c r="G5" s="18"/>
      <c r="H5" s="17"/>
    </row>
    <row r="6" spans="2:8" ht="19">
      <c r="B6" s="42" t="s">
        <v>15</v>
      </c>
      <c r="C6" s="42"/>
      <c r="D6" s="42"/>
      <c r="E6" s="43"/>
      <c r="F6" s="44"/>
      <c r="G6" s="45"/>
      <c r="H6" s="44"/>
    </row>
    <row r="7" spans="2:8" ht="19">
      <c r="B7" s="42" t="s">
        <v>14</v>
      </c>
      <c r="C7" s="42"/>
      <c r="D7" s="42"/>
      <c r="E7" s="43"/>
      <c r="F7" s="44"/>
      <c r="G7" s="45"/>
      <c r="H7" s="44"/>
    </row>
    <row r="8" spans="2:8" ht="19">
      <c r="B8" s="19"/>
      <c r="C8" s="17"/>
      <c r="D8" s="17"/>
      <c r="E8" s="19"/>
      <c r="F8" s="17"/>
      <c r="G8" s="18"/>
      <c r="H8" s="17"/>
    </row>
    <row r="9" spans="2:8" ht="20" customHeight="1">
      <c r="B9" s="42" t="s">
        <v>72</v>
      </c>
      <c r="C9" s="42"/>
      <c r="D9" s="42"/>
      <c r="E9" s="19" t="s">
        <v>3</v>
      </c>
      <c r="F9" s="17"/>
      <c r="G9" s="18"/>
      <c r="H9" s="17"/>
    </row>
    <row r="10" spans="2:8" ht="20">
      <c r="B10" s="20" t="s">
        <v>13</v>
      </c>
      <c r="C10" s="21" t="s">
        <v>12</v>
      </c>
      <c r="D10" s="17"/>
      <c r="E10" s="19"/>
      <c r="F10" s="17"/>
      <c r="G10" s="18"/>
      <c r="H10" s="17"/>
    </row>
    <row r="11" spans="2:8" ht="40">
      <c r="B11" s="20" t="s">
        <v>11</v>
      </c>
      <c r="C11" s="46" t="s">
        <v>10</v>
      </c>
      <c r="D11" s="46"/>
      <c r="E11" s="43"/>
      <c r="F11" s="43"/>
      <c r="G11" s="18"/>
      <c r="H11" s="17"/>
    </row>
    <row r="12" spans="2:8" ht="19">
      <c r="B12" s="20"/>
      <c r="C12" s="17"/>
      <c r="D12" s="17"/>
      <c r="E12" s="19"/>
      <c r="F12" s="17"/>
      <c r="G12" s="18"/>
      <c r="H12" s="17"/>
    </row>
    <row r="13" spans="2:8" ht="40">
      <c r="B13" s="16" t="s">
        <v>9</v>
      </c>
      <c r="C13" s="14" t="s">
        <v>8</v>
      </c>
      <c r="D13" s="15" t="s">
        <v>7</v>
      </c>
      <c r="E13" s="14" t="s">
        <v>6</v>
      </c>
      <c r="F13" s="14" t="s">
        <v>5</v>
      </c>
      <c r="G13" s="13" t="s">
        <v>4</v>
      </c>
      <c r="H13" s="8" t="s">
        <v>31</v>
      </c>
    </row>
    <row r="14" spans="2:8">
      <c r="B14" s="12">
        <v>45870</v>
      </c>
      <c r="C14" s="32" t="str">
        <f t="shared" ref="C14:C44" si="0">TEXT(B14,"DDDD")</f>
        <v>Friday</v>
      </c>
      <c r="D14" s="11" t="s">
        <v>2</v>
      </c>
      <c r="E14" s="10" t="s">
        <v>42</v>
      </c>
      <c r="F14" s="8">
        <f>IF(Table13[[#This Row],[Work Done]]="WEEK OFF", "00:00", Table13[[#This Row],[19:00]]-Table13[[#This Row],[Time In]])</f>
        <v>0.39583333333333331</v>
      </c>
      <c r="G14" s="9">
        <v>0.39583333333333331</v>
      </c>
      <c r="H14" s="8">
        <v>0.79166666666666663</v>
      </c>
    </row>
    <row r="15" spans="2:8">
      <c r="B15" s="12">
        <v>45871</v>
      </c>
      <c r="C15" s="36" t="s">
        <v>37</v>
      </c>
      <c r="D15" s="11" t="s">
        <v>2</v>
      </c>
      <c r="E15" s="10" t="s">
        <v>22</v>
      </c>
      <c r="F15" s="8" t="str">
        <f>IF(Table13[[#This Row],[Work Done]]="WEEK OFF", "00:00", Table13[[#This Row],[19:00]]-Table13[[#This Row],[Time In]])</f>
        <v>00:00</v>
      </c>
      <c r="G15" s="9">
        <v>0</v>
      </c>
      <c r="H15" s="8">
        <v>0</v>
      </c>
    </row>
    <row r="16" spans="2:8">
      <c r="B16" s="12">
        <v>45872</v>
      </c>
      <c r="C16" s="32" t="str">
        <f t="shared" si="0"/>
        <v>Sunday</v>
      </c>
      <c r="D16" s="11" t="s">
        <v>2</v>
      </c>
      <c r="E16" s="10" t="s">
        <v>22</v>
      </c>
      <c r="F16" s="8" t="str">
        <f>IF(Table13[[#This Row],[Work Done]]="WEEK OFF", "00:00", Table13[[#This Row],[19:00]]-Table13[[#This Row],[Time In]])</f>
        <v>00:00</v>
      </c>
      <c r="G16" s="9">
        <v>0</v>
      </c>
      <c r="H16" s="8">
        <v>0</v>
      </c>
    </row>
    <row r="17" spans="2:11" ht="45">
      <c r="B17" s="12">
        <v>45873</v>
      </c>
      <c r="C17" s="32" t="str">
        <f t="shared" si="0"/>
        <v>Monday</v>
      </c>
      <c r="D17" s="11" t="s">
        <v>2</v>
      </c>
      <c r="E17" s="10" t="s">
        <v>38</v>
      </c>
      <c r="F17" s="8">
        <f>IF(Table13[[#This Row],[Work Done]]="WEEK OFF", "00:00", Table13[[#This Row],[19:00]]-Table13[[#This Row],[Time In]])</f>
        <v>0.39583333333333331</v>
      </c>
      <c r="G17" s="9">
        <v>0.39583333333333331</v>
      </c>
      <c r="H17" s="8">
        <v>0.79166666666666663</v>
      </c>
    </row>
    <row r="18" spans="2:11" ht="45">
      <c r="B18" s="12">
        <v>45874</v>
      </c>
      <c r="C18" s="34" t="str">
        <f t="shared" si="0"/>
        <v>Tuesday</v>
      </c>
      <c r="D18" s="11" t="s">
        <v>2</v>
      </c>
      <c r="E18" s="10" t="s">
        <v>35</v>
      </c>
      <c r="F18" s="8">
        <f>IF(Table13[[#This Row],[Work Done]]="WEEK OFF", "00:00", Table13[[#This Row],[19:00]]-Table13[[#This Row],[Time In]])</f>
        <v>0.39583333333333331</v>
      </c>
      <c r="G18" s="9">
        <v>0.39583333333333331</v>
      </c>
      <c r="H18" s="8">
        <v>0.79166666666666663</v>
      </c>
    </row>
    <row r="19" spans="2:11" ht="30">
      <c r="B19" s="12">
        <v>45875</v>
      </c>
      <c r="C19" s="35" t="str">
        <f t="shared" si="0"/>
        <v>Wednesday</v>
      </c>
      <c r="D19" s="11" t="s">
        <v>2</v>
      </c>
      <c r="E19" s="10" t="s">
        <v>28</v>
      </c>
      <c r="F19" s="8">
        <f>IF(Table13[[#This Row],[Work Done]]="WEEK OFF", "00:00", Table13[[#This Row],[19:00]]-Table13[[#This Row],[Time In]])</f>
        <v>0.39583333333333331</v>
      </c>
      <c r="G19" s="9">
        <v>0.39583333333333331</v>
      </c>
      <c r="H19" s="8">
        <v>0.79166666666666663</v>
      </c>
      <c r="K19" s="1" t="s">
        <v>3</v>
      </c>
    </row>
    <row r="20" spans="2:11" ht="30">
      <c r="B20" s="12">
        <v>45876</v>
      </c>
      <c r="C20" s="34" t="str">
        <f t="shared" si="0"/>
        <v>Thursday</v>
      </c>
      <c r="D20" s="11" t="s">
        <v>2</v>
      </c>
      <c r="E20" s="10" t="s">
        <v>36</v>
      </c>
      <c r="F20" s="8">
        <f>IF(Table13[[#This Row],[Work Done]]="WEEK OFF", "00:00", Table13[[#This Row],[19:00]]-Table13[[#This Row],[Time In]])</f>
        <v>0.39583333333333331</v>
      </c>
      <c r="G20" s="9">
        <v>0.39583333333333331</v>
      </c>
      <c r="H20" s="8">
        <v>0.79166666666666663</v>
      </c>
    </row>
    <row r="21" spans="2:11" ht="30">
      <c r="B21" s="12">
        <v>45877</v>
      </c>
      <c r="C21" s="33" t="str">
        <f t="shared" si="0"/>
        <v>Friday</v>
      </c>
      <c r="D21" s="11" t="s">
        <v>2</v>
      </c>
      <c r="E21" s="10" t="s">
        <v>27</v>
      </c>
      <c r="F21" s="8">
        <f>IF(Table13[[#This Row],[Work Done]]="WEEK OFF", "00:00", Table13[[#This Row],[19:00]]-Table13[[#This Row],[Time In]])</f>
        <v>0.39583333333333331</v>
      </c>
      <c r="G21" s="9">
        <v>0.39583333333333331</v>
      </c>
      <c r="H21" s="8">
        <v>0.79166666666666663</v>
      </c>
    </row>
    <row r="22" spans="2:11">
      <c r="B22" s="12">
        <v>45878</v>
      </c>
      <c r="C22" s="33" t="str">
        <f t="shared" si="0"/>
        <v>Saturday</v>
      </c>
      <c r="D22" s="11" t="s">
        <v>2</v>
      </c>
      <c r="E22" s="37" t="s">
        <v>25</v>
      </c>
      <c r="F22" s="8">
        <f>IF(Table13[[#This Row],[Work Done]]="WEEK OFF", "00:00", Table13[[#This Row],[19:00]]-Table13[[#This Row],[Time In]])</f>
        <v>0</v>
      </c>
      <c r="G22" s="9">
        <v>0</v>
      </c>
      <c r="H22" s="8">
        <v>0</v>
      </c>
    </row>
    <row r="23" spans="2:11">
      <c r="B23" s="12">
        <v>45879</v>
      </c>
      <c r="C23" s="33" t="str">
        <f t="shared" si="0"/>
        <v>Sunday</v>
      </c>
      <c r="D23" s="11" t="s">
        <v>2</v>
      </c>
      <c r="E23" s="10"/>
      <c r="F23" s="8">
        <f>IF(Table13[[#This Row],[Work Done]]="WEEK OFF", "00:00", Table13[[#This Row],[19:00]]-Table13[[#This Row],[Time In]])</f>
        <v>0</v>
      </c>
      <c r="G23" s="9">
        <v>0</v>
      </c>
      <c r="H23" s="8">
        <v>0</v>
      </c>
    </row>
    <row r="24" spans="2:11" ht="45">
      <c r="B24" s="12">
        <v>45880</v>
      </c>
      <c r="C24" s="33" t="str">
        <f t="shared" si="0"/>
        <v>Monday</v>
      </c>
      <c r="D24" s="11" t="s">
        <v>2</v>
      </c>
      <c r="E24" s="10" t="s">
        <v>41</v>
      </c>
      <c r="F24" s="8">
        <f>IF(Table13[[#This Row],[Work Done]]="WEEK OFF", "00:00", Table13[[#This Row],[19:00]]-Table13[[#This Row],[Time In]])</f>
        <v>0.39583333333333331</v>
      </c>
      <c r="G24" s="9">
        <v>0.39583333333333331</v>
      </c>
      <c r="H24" s="8">
        <v>0.79166666666666663</v>
      </c>
    </row>
    <row r="25" spans="2:11" ht="30">
      <c r="B25" s="12">
        <v>45881</v>
      </c>
      <c r="C25" s="33" t="str">
        <f t="shared" si="0"/>
        <v>Tuesday</v>
      </c>
      <c r="D25" s="11" t="s">
        <v>2</v>
      </c>
      <c r="E25" s="10" t="s">
        <v>33</v>
      </c>
      <c r="F25" s="8">
        <f>IF(Table13[[#This Row],[Work Done]]="WEEK OFF", "00:00", Table13[[#This Row],[19:00]]-Table13[[#This Row],[Time In]])</f>
        <v>0.39583333333333331</v>
      </c>
      <c r="G25" s="9">
        <v>0.39583333333333331</v>
      </c>
      <c r="H25" s="8">
        <v>0.79166666666666663</v>
      </c>
    </row>
    <row r="26" spans="2:11" ht="30">
      <c r="B26" s="12">
        <v>45882</v>
      </c>
      <c r="C26" s="35" t="str">
        <f t="shared" si="0"/>
        <v>Wednesday</v>
      </c>
      <c r="D26" s="11" t="s">
        <v>2</v>
      </c>
      <c r="E26" s="10" t="s">
        <v>34</v>
      </c>
      <c r="F26" s="8">
        <f>IF(Table13[[#This Row],[Work Done]]="WEEK OFF", "00:00", Table13[[#This Row],[19:00]]-Table13[[#This Row],[Time In]])</f>
        <v>0.39583333333333331</v>
      </c>
      <c r="G26" s="9">
        <v>0.39583333333333331</v>
      </c>
      <c r="H26" s="8">
        <v>0.79166666666666663</v>
      </c>
    </row>
    <row r="27" spans="2:11" ht="45">
      <c r="B27" s="12">
        <v>45883</v>
      </c>
      <c r="C27" s="33" t="str">
        <f t="shared" si="0"/>
        <v>Thursday</v>
      </c>
      <c r="D27" s="11" t="s">
        <v>2</v>
      </c>
      <c r="E27" s="10" t="s">
        <v>39</v>
      </c>
      <c r="F27" s="8">
        <f>IF(Table13[[#This Row],[Work Done]]="WEEK OFF", "00:00", Table13[[#This Row],[19:00]]-Table13[[#This Row],[Time In]])</f>
        <v>0.39583333333333331</v>
      </c>
      <c r="G27" s="9">
        <v>0.39583333333333331</v>
      </c>
      <c r="H27" s="8">
        <v>0.79166666666666663</v>
      </c>
    </row>
    <row r="28" spans="2:11">
      <c r="B28" s="12">
        <v>45884</v>
      </c>
      <c r="C28" s="34" t="str">
        <f t="shared" si="0"/>
        <v>Friday</v>
      </c>
      <c r="D28" s="11" t="s">
        <v>2</v>
      </c>
      <c r="E28" s="37" t="s">
        <v>26</v>
      </c>
      <c r="F28" s="8">
        <f>IF(Table13[[#This Row],[Work Done]]="WEEK OFF", "00:00", Table13[[#This Row],[19:00]]-Table13[[#This Row],[Time In]])</f>
        <v>0</v>
      </c>
      <c r="G28" s="9">
        <v>0</v>
      </c>
      <c r="H28" s="8">
        <v>0</v>
      </c>
    </row>
    <row r="29" spans="2:11" ht="62" customHeight="1">
      <c r="B29" s="12">
        <v>45885</v>
      </c>
      <c r="C29" s="38" t="str">
        <f t="shared" si="0"/>
        <v>Saturday</v>
      </c>
      <c r="D29" s="11" t="s">
        <v>2</v>
      </c>
      <c r="E29" s="10" t="s">
        <v>22</v>
      </c>
      <c r="F29" s="8" t="str">
        <f>IF(Table13[[#This Row],[Work Done]]="WEEK OFF", "00:00", Table13[[#This Row],[19:00]]-Table13[[#This Row],[Time In]])</f>
        <v>00:00</v>
      </c>
      <c r="G29" s="9">
        <v>0</v>
      </c>
      <c r="H29" s="8">
        <v>0</v>
      </c>
    </row>
    <row r="30" spans="2:11" ht="50" customHeight="1">
      <c r="B30" s="12">
        <v>45886</v>
      </c>
      <c r="C30" s="34" t="str">
        <f t="shared" si="0"/>
        <v>Sunday</v>
      </c>
      <c r="D30" s="11" t="s">
        <v>2</v>
      </c>
      <c r="E30" s="10" t="s">
        <v>22</v>
      </c>
      <c r="F30" s="8" t="str">
        <f>IF(Table13[[#This Row],[Work Done]]="WEEK OFF", "00:00", Table13[[#This Row],[19:00]]-Table13[[#This Row],[Time In]])</f>
        <v>00:00</v>
      </c>
      <c r="G30" s="9">
        <v>0</v>
      </c>
      <c r="H30" s="8">
        <v>0</v>
      </c>
    </row>
    <row r="31" spans="2:11" ht="30">
      <c r="B31" s="12">
        <v>45887</v>
      </c>
      <c r="C31" s="34" t="str">
        <f t="shared" si="0"/>
        <v>Monday</v>
      </c>
      <c r="D31" s="11" t="s">
        <v>2</v>
      </c>
      <c r="E31" s="10" t="s">
        <v>40</v>
      </c>
      <c r="F31" s="8">
        <f>IF(Table13[[#This Row],[Work Done]]="WEEK OFF", "00:00", Table13[[#This Row],[19:00]]-Table13[[#This Row],[Time In]])</f>
        <v>0.39583333333333331</v>
      </c>
      <c r="G31" s="9">
        <v>0.39583333333333331</v>
      </c>
      <c r="H31" s="8">
        <v>0.79166666666666663</v>
      </c>
    </row>
    <row r="32" spans="2:11" ht="74" customHeight="1">
      <c r="B32" s="12">
        <v>45888</v>
      </c>
      <c r="C32" s="34" t="str">
        <f t="shared" si="0"/>
        <v>Tuesday</v>
      </c>
      <c r="D32" s="11" t="s">
        <v>2</v>
      </c>
      <c r="E32" s="10" t="s">
        <v>32</v>
      </c>
      <c r="F32" s="8">
        <f>IF(Table13[[#This Row],[Work Done]]="WEEK OFF", "00:00", Table13[[#This Row],[19:00]]-Table13[[#This Row],[Time In]])</f>
        <v>0.39583333333333331</v>
      </c>
      <c r="G32" s="9">
        <v>0.39583333333333331</v>
      </c>
      <c r="H32" s="8">
        <v>0.79166666666666663</v>
      </c>
    </row>
    <row r="33" spans="2:8" ht="70" customHeight="1">
      <c r="B33" s="12">
        <v>45889</v>
      </c>
      <c r="C33" s="35" t="str">
        <f t="shared" si="0"/>
        <v>Wednesday</v>
      </c>
      <c r="D33" s="11" t="s">
        <v>2</v>
      </c>
      <c r="E33" s="10" t="s">
        <v>30</v>
      </c>
      <c r="F33" s="8">
        <f>IF(Table13[[#This Row],[Work Done]]="WEEK OFF", "00:00", Table13[[#This Row],[19:00]]-Table13[[#This Row],[Time In]])</f>
        <v>0.39583333333333331</v>
      </c>
      <c r="G33" s="9">
        <v>0.39583333333333331</v>
      </c>
      <c r="H33" s="8">
        <v>0.79166666666666663</v>
      </c>
    </row>
    <row r="34" spans="2:8" ht="60">
      <c r="B34" s="12">
        <v>45890</v>
      </c>
      <c r="C34" s="34" t="str">
        <f t="shared" si="0"/>
        <v>Thursday</v>
      </c>
      <c r="D34" s="11" t="s">
        <v>2</v>
      </c>
      <c r="E34" s="10" t="s">
        <v>29</v>
      </c>
      <c r="F34" s="8">
        <f>IF(Table13[[#This Row],[Work Done]]="WEEK OFF", "00:00", Table13[[#This Row],[19:00]]-Table13[[#This Row],[Time In]])</f>
        <v>0.39583333333333331</v>
      </c>
      <c r="G34" s="9">
        <v>0.39583333333333331</v>
      </c>
      <c r="H34" s="8">
        <v>0.79166666666666663</v>
      </c>
    </row>
    <row r="35" spans="2:8" ht="90">
      <c r="B35" s="12">
        <v>45891</v>
      </c>
      <c r="C35" s="33" t="str">
        <f t="shared" si="0"/>
        <v>Friday</v>
      </c>
      <c r="D35" s="11" t="s">
        <v>2</v>
      </c>
      <c r="E35" s="10" t="s">
        <v>44</v>
      </c>
      <c r="F35" s="8">
        <f>IF(Table13[[#This Row],[Work Done]]="WEEK OFF", "00:00", Table13[[#This Row],[19:00]]-Table13[[#This Row],[Time In]])</f>
        <v>0.39583333333333331</v>
      </c>
      <c r="G35" s="9">
        <v>0.39583333333333331</v>
      </c>
      <c r="H35" s="8">
        <v>0.79166666666666663</v>
      </c>
    </row>
    <row r="36" spans="2:8" ht="60">
      <c r="B36" s="12">
        <v>45892</v>
      </c>
      <c r="C36" s="33" t="str">
        <f t="shared" si="0"/>
        <v>Saturday</v>
      </c>
      <c r="D36" s="11" t="s">
        <v>2</v>
      </c>
      <c r="E36" s="10" t="s">
        <v>43</v>
      </c>
      <c r="F36" s="8">
        <f>IF(Table13[[#This Row],[Work Done]]="WEEK OFF", "00:00", Table13[[#This Row],[19:00]]-Table13[[#This Row],[Time In]])</f>
        <v>0.39583333333333331</v>
      </c>
      <c r="G36" s="9">
        <v>0.39583333333333331</v>
      </c>
      <c r="H36" s="8">
        <v>0.79166666666666663</v>
      </c>
    </row>
    <row r="37" spans="2:8">
      <c r="B37" s="12">
        <v>45893</v>
      </c>
      <c r="C37" s="33" t="str">
        <f t="shared" si="0"/>
        <v>Sunday</v>
      </c>
      <c r="D37" s="11" t="s">
        <v>2</v>
      </c>
      <c r="E37" s="10"/>
      <c r="F37" s="8">
        <f>IF(Table13[[#This Row],[Work Done]]="WEEK OFF", "00:00", Table13[[#This Row],[19:00]]-Table13[[#This Row],[Time In]])</f>
        <v>0</v>
      </c>
      <c r="G37" s="9">
        <v>0</v>
      </c>
      <c r="H37" s="8">
        <v>0</v>
      </c>
    </row>
    <row r="38" spans="2:8" ht="90">
      <c r="B38" s="12">
        <v>45894</v>
      </c>
      <c r="C38" s="34" t="str">
        <f t="shared" si="0"/>
        <v>Monday</v>
      </c>
      <c r="D38" s="11" t="s">
        <v>2</v>
      </c>
      <c r="E38" s="10" t="s">
        <v>46</v>
      </c>
      <c r="F38" s="8">
        <f>IF(Table13[[#This Row],[Work Done]]="WEEK OFF", "00:00", Table13[[#This Row],[19:00]]-Table13[[#This Row],[Time In]])</f>
        <v>0.39583333333333331</v>
      </c>
      <c r="G38" s="9">
        <v>0.39583333333333331</v>
      </c>
      <c r="H38" s="8">
        <v>0.79166666666666663</v>
      </c>
    </row>
    <row r="39" spans="2:8" ht="45">
      <c r="B39" s="12">
        <v>45895</v>
      </c>
      <c r="C39" s="33" t="str">
        <f t="shared" si="0"/>
        <v>Tuesday</v>
      </c>
      <c r="D39" s="11" t="s">
        <v>2</v>
      </c>
      <c r="E39" s="10" t="s">
        <v>50</v>
      </c>
      <c r="F39" s="8">
        <f>IF(Table13[[#This Row],[Work Done]]="WEEK OFF", "00:00", Table13[[#This Row],[19:00]]-Table13[[#This Row],[Time In]])</f>
        <v>0.39583333333333331</v>
      </c>
      <c r="G39" s="9">
        <v>0.39583333333333331</v>
      </c>
      <c r="H39" s="8">
        <v>0.79166666666666663</v>
      </c>
    </row>
    <row r="40" spans="2:8" ht="60">
      <c r="B40" s="12">
        <v>45896</v>
      </c>
      <c r="C40" s="35" t="str">
        <f t="shared" si="0"/>
        <v>Wednesday</v>
      </c>
      <c r="D40" s="11" t="s">
        <v>2</v>
      </c>
      <c r="E40" s="10" t="s">
        <v>49</v>
      </c>
      <c r="F40" s="8">
        <f>IF(Table13[[#This Row],[Work Done]]="WEEK OFF", "00:00", Table13[[#This Row],[19:00]]-Table13[[#This Row],[Time In]])</f>
        <v>0.39583333333333331</v>
      </c>
      <c r="G40" s="9">
        <v>0.39583333333333331</v>
      </c>
      <c r="H40" s="8">
        <v>0.79166666666666663</v>
      </c>
    </row>
    <row r="41" spans="2:8" ht="58" customHeight="1">
      <c r="B41" s="12">
        <v>45897</v>
      </c>
      <c r="C41" s="33" t="str">
        <f t="shared" si="0"/>
        <v>Thursday</v>
      </c>
      <c r="D41" s="11" t="s">
        <v>2</v>
      </c>
      <c r="E41" s="10" t="s">
        <v>48</v>
      </c>
      <c r="F41" s="8">
        <f>IF(Table13[[#This Row],[Work Done]]="WEEK OFF", "00:00", Table13[[#This Row],[19:00]]-Table13[[#This Row],[Time In]])</f>
        <v>0.39583333333333331</v>
      </c>
      <c r="G41" s="9">
        <v>0.39583333333333331</v>
      </c>
      <c r="H41" s="8">
        <v>0.79166666666666663</v>
      </c>
    </row>
    <row r="42" spans="2:8" ht="44" customHeight="1">
      <c r="B42" s="12">
        <v>45898</v>
      </c>
      <c r="C42" s="34" t="str">
        <f t="shared" si="0"/>
        <v>Friday</v>
      </c>
      <c r="D42" s="11" t="s">
        <v>2</v>
      </c>
      <c r="E42" s="10" t="s">
        <v>47</v>
      </c>
      <c r="F42" s="8">
        <f>IF(Table13[[#This Row],[Work Done]]="WEEK OFF", "00:00", Table13[[#This Row],[19:00]]-Table13[[#This Row],[Time In]])</f>
        <v>0.39583333333333331</v>
      </c>
      <c r="G42" s="9">
        <v>0.39583333333333331</v>
      </c>
      <c r="H42" s="8">
        <v>0.79166666666666663</v>
      </c>
    </row>
    <row r="43" spans="2:8" ht="45">
      <c r="B43" s="12">
        <v>45899</v>
      </c>
      <c r="C43" s="33" t="str">
        <f t="shared" si="0"/>
        <v>Saturday</v>
      </c>
      <c r="D43" s="11" t="s">
        <v>2</v>
      </c>
      <c r="E43" s="10" t="s">
        <v>47</v>
      </c>
      <c r="F43" s="8">
        <f>IF(Table13[[#This Row],[Work Done]]="WEEK OFF", "00:00", Table13[[#This Row],[19:00]]-Table13[[#This Row],[Time In]])</f>
        <v>0.39583333333333331</v>
      </c>
      <c r="G43" s="9">
        <v>0.39583333333333331</v>
      </c>
      <c r="H43" s="8">
        <v>0.79166666666666663</v>
      </c>
    </row>
    <row r="44" spans="2:8" ht="47" customHeight="1">
      <c r="B44" s="12">
        <v>45900</v>
      </c>
      <c r="C44" s="33" t="str">
        <f t="shared" si="0"/>
        <v>Sunday</v>
      </c>
      <c r="D44" s="11" t="s">
        <v>2</v>
      </c>
      <c r="E44" s="10"/>
      <c r="F44" s="8">
        <f>IF(Table13[[#This Row],[Work Done]]="WEEK OFF", "00:00", Table13[[#This Row],[19:00]]-Table13[[#This Row],[Time In]])</f>
        <v>0.39583333333333331</v>
      </c>
      <c r="G44" s="9">
        <v>0.39583333333333331</v>
      </c>
      <c r="H44" s="8">
        <v>0.79166666666666663</v>
      </c>
    </row>
    <row r="45" spans="2:8" ht="20">
      <c r="E45" s="7" t="s">
        <v>1</v>
      </c>
      <c r="F45" s="6">
        <f>SUM(F14:F44)*24</f>
        <v>218.5</v>
      </c>
      <c r="G45" s="5" t="s">
        <v>0</v>
      </c>
      <c r="H45" s="4">
        <v>123</v>
      </c>
    </row>
    <row r="46" spans="2:8">
      <c r="G46" s="4">
        <v>1111</v>
      </c>
      <c r="H46" s="39"/>
    </row>
  </sheetData>
  <mergeCells count="10">
    <mergeCell ref="H6:H7"/>
    <mergeCell ref="B7:D7"/>
    <mergeCell ref="B9:D9"/>
    <mergeCell ref="C11:D11"/>
    <mergeCell ref="E11:F11"/>
    <mergeCell ref="B5:C5"/>
    <mergeCell ref="B6:D6"/>
    <mergeCell ref="E6:E7"/>
    <mergeCell ref="F6:F7"/>
    <mergeCell ref="G6:G7"/>
  </mergeCells>
  <conditionalFormatting sqref="B1:B1048576">
    <cfRule type="expression" dxfId="12" priority="13" stopIfTrue="1">
      <formula>"C14=""Sunday"""</formula>
    </cfRule>
  </conditionalFormatting>
  <conditionalFormatting sqref="C1:C1048576">
    <cfRule type="containsText" dxfId="11" priority="8" operator="containsText" text="Sunday">
      <formula>NOT(ISERROR(SEARCH("Sunday",C1)))</formula>
    </cfRule>
  </conditionalFormatting>
  <conditionalFormatting sqref="D1:D1048576">
    <cfRule type="expression" dxfId="10" priority="1">
      <formula>"if($C15=""Sunday"")"</formula>
    </cfRule>
  </conditionalFormatting>
  <conditionalFormatting sqref="E1:E1048576">
    <cfRule type="expression" dxfId="9" priority="4">
      <formula>$C1="Sunday"</formula>
    </cfRule>
    <cfRule type="containsText" dxfId="8" priority="14" stopIfTrue="1" operator="containsText" text="&quot;LEAVE&quot; ">
      <formula>NOT(ISERROR(SEARCH("""LEAVE"" ",E1)))</formula>
    </cfRule>
    <cfRule type="containsText" dxfId="7" priority="17" operator="containsText" text="WEEK OFF">
      <formula>NOT(ISERROR(SEARCH("WEEK OFF",E1)))</formula>
    </cfRule>
  </conditionalFormatting>
  <conditionalFormatting sqref="F1:F1048576">
    <cfRule type="expression" dxfId="6" priority="7" stopIfTrue="1">
      <formula>"if(E:E=""LEAVE"")"</formula>
    </cfRule>
  </conditionalFormatting>
  <conditionalFormatting sqref="F14:F45">
    <cfRule type="cellIs" dxfId="5" priority="16" operator="lessThan">
      <formula>0.013</formula>
    </cfRule>
  </conditionalFormatting>
  <conditionalFormatting sqref="G14:G46 G15:H15 G18:H19 G26:H26 G32:H33 G40:H40">
    <cfRule type="cellIs" dxfId="4" priority="12" operator="lessThan">
      <formula>0.0013</formula>
    </cfRule>
  </conditionalFormatting>
  <conditionalFormatting sqref="H13:H44">
    <cfRule type="cellIs" dxfId="3" priority="11" operator="lessThan">
      <formula>0.013</formula>
    </cfRule>
  </conditionalFormatting>
  <conditionalFormatting sqref="H45">
    <cfRule type="cellIs" dxfId="2" priority="10" operator="lessThan">
      <formula>0.0013</formula>
    </cfRule>
  </conditionalFormatting>
  <conditionalFormatting sqref="H46">
    <cfRule type="cellIs" dxfId="1" priority="5" operator="lessThan">
      <formula>0.013</formula>
    </cfRule>
  </conditionalFormatting>
  <conditionalFormatting sqref="I13">
    <cfRule type="expression" dxfId="0" priority="6">
      <formula>""</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3BF7-5390-6248-94C2-92430F0F90B1}">
  <dimension ref="A1:F36"/>
  <sheetViews>
    <sheetView topLeftCell="A2" zoomScale="115" workbookViewId="0">
      <selection activeCell="D24" sqref="D24"/>
    </sheetView>
  </sheetViews>
  <sheetFormatPr baseColWidth="10" defaultRowHeight="14"/>
  <cols>
    <col min="2" max="2" width="24.83203125" bestFit="1" customWidth="1"/>
    <col min="3" max="3" width="55.5" customWidth="1"/>
    <col min="4" max="4" width="41.83203125" style="28" bestFit="1" customWidth="1"/>
    <col min="5" max="5" width="42.83203125" customWidth="1"/>
    <col min="6" max="6" width="40" bestFit="1" customWidth="1"/>
  </cols>
  <sheetData>
    <row r="1" spans="1:6">
      <c r="A1" s="22"/>
    </row>
    <row r="2" spans="1:6">
      <c r="A2" s="22"/>
    </row>
    <row r="3" spans="1:6" ht="24">
      <c r="A3" s="22"/>
      <c r="B3" s="47" t="s">
        <v>45</v>
      </c>
      <c r="C3" s="48"/>
      <c r="D3" s="48"/>
      <c r="E3" s="48"/>
      <c r="F3" s="48"/>
    </row>
    <row r="4" spans="1:6" ht="24">
      <c r="A4" s="22"/>
      <c r="B4" s="29" t="s">
        <v>20</v>
      </c>
      <c r="C4" s="27" t="s">
        <v>58</v>
      </c>
      <c r="D4" s="27" t="s">
        <v>21</v>
      </c>
      <c r="E4" s="27" t="s">
        <v>18</v>
      </c>
      <c r="F4" s="27" t="s">
        <v>19</v>
      </c>
    </row>
    <row r="5" spans="1:6" ht="24">
      <c r="A5" s="22"/>
      <c r="B5" s="30">
        <v>45872</v>
      </c>
      <c r="C5" s="26" t="s">
        <v>59</v>
      </c>
      <c r="D5" s="26" t="s">
        <v>23</v>
      </c>
      <c r="E5" s="41">
        <v>465.4</v>
      </c>
      <c r="F5" s="41" t="s">
        <v>51</v>
      </c>
    </row>
    <row r="6" spans="1:6" ht="23">
      <c r="A6" s="22"/>
      <c r="B6" s="30">
        <v>45878</v>
      </c>
      <c r="C6" s="40" t="s">
        <v>60</v>
      </c>
      <c r="D6" s="40" t="s">
        <v>24</v>
      </c>
      <c r="E6" s="41">
        <v>328</v>
      </c>
      <c r="F6" s="41" t="s">
        <v>52</v>
      </c>
    </row>
    <row r="7" spans="1:6" ht="24">
      <c r="A7" s="22"/>
      <c r="B7" s="30">
        <v>45879</v>
      </c>
      <c r="C7" s="26" t="s">
        <v>61</v>
      </c>
      <c r="D7" s="26" t="s">
        <v>23</v>
      </c>
      <c r="E7" s="41">
        <v>448.51</v>
      </c>
      <c r="F7" s="41" t="s">
        <v>51</v>
      </c>
    </row>
    <row r="8" spans="1:6" ht="24">
      <c r="A8" s="22"/>
      <c r="B8" s="30">
        <v>45879</v>
      </c>
      <c r="C8" s="40" t="s">
        <v>62</v>
      </c>
      <c r="D8" s="26" t="s">
        <v>53</v>
      </c>
      <c r="E8" s="41">
        <v>578.54999999999995</v>
      </c>
      <c r="F8" s="41" t="s">
        <v>51</v>
      </c>
    </row>
    <row r="9" spans="1:6" ht="24">
      <c r="A9" s="22"/>
      <c r="B9" s="30">
        <v>45881</v>
      </c>
      <c r="C9" s="26" t="s">
        <v>63</v>
      </c>
      <c r="D9" s="40" t="s">
        <v>24</v>
      </c>
      <c r="E9" s="41">
        <v>975</v>
      </c>
      <c r="F9" s="41" t="s">
        <v>52</v>
      </c>
    </row>
    <row r="10" spans="1:6" ht="24">
      <c r="A10" s="22"/>
      <c r="B10" s="30">
        <v>45884</v>
      </c>
      <c r="C10" s="40" t="s">
        <v>64</v>
      </c>
      <c r="D10" s="26" t="s">
        <v>23</v>
      </c>
      <c r="E10" s="41">
        <v>541</v>
      </c>
      <c r="F10" s="41" t="s">
        <v>51</v>
      </c>
    </row>
    <row r="11" spans="1:6" ht="24">
      <c r="A11" s="22"/>
      <c r="B11" s="30">
        <v>45885</v>
      </c>
      <c r="C11" s="26" t="s">
        <v>65</v>
      </c>
      <c r="D11" s="26" t="s">
        <v>57</v>
      </c>
      <c r="E11" s="41">
        <v>842.63</v>
      </c>
      <c r="F11" s="41" t="s">
        <v>51</v>
      </c>
    </row>
    <row r="12" spans="1:6" ht="24">
      <c r="A12" s="22"/>
      <c r="B12" s="30">
        <v>45886</v>
      </c>
      <c r="C12" s="40" t="s">
        <v>66</v>
      </c>
      <c r="D12" s="26" t="s">
        <v>23</v>
      </c>
      <c r="E12" s="41">
        <v>685.91</v>
      </c>
      <c r="F12" s="41" t="s">
        <v>51</v>
      </c>
    </row>
    <row r="13" spans="1:6" ht="24">
      <c r="A13" s="22"/>
      <c r="B13" s="30">
        <v>45889</v>
      </c>
      <c r="C13" s="26" t="s">
        <v>67</v>
      </c>
      <c r="D13" s="26" t="s">
        <v>23</v>
      </c>
      <c r="E13" s="41">
        <v>377.81</v>
      </c>
      <c r="F13" s="41" t="s">
        <v>51</v>
      </c>
    </row>
    <row r="14" spans="1:6" ht="24">
      <c r="A14" s="22"/>
      <c r="B14" s="30">
        <v>45893</v>
      </c>
      <c r="C14" s="40" t="s">
        <v>68</v>
      </c>
      <c r="D14" s="26" t="s">
        <v>53</v>
      </c>
      <c r="E14" s="41">
        <v>649.15</v>
      </c>
      <c r="F14" s="41" t="s">
        <v>51</v>
      </c>
    </row>
    <row r="15" spans="1:6" ht="24">
      <c r="A15" s="22"/>
      <c r="B15" s="30">
        <v>45899</v>
      </c>
      <c r="C15" s="26" t="s">
        <v>69</v>
      </c>
      <c r="D15" s="40" t="s">
        <v>54</v>
      </c>
      <c r="E15" s="41">
        <v>365</v>
      </c>
      <c r="F15" s="41" t="s">
        <v>52</v>
      </c>
    </row>
    <row r="16" spans="1:6" ht="23">
      <c r="A16" s="22"/>
      <c r="B16" s="30">
        <v>45899</v>
      </c>
      <c r="C16" s="40" t="s">
        <v>70</v>
      </c>
      <c r="D16" s="40" t="s">
        <v>55</v>
      </c>
      <c r="E16" s="41">
        <v>514.07000000000005</v>
      </c>
      <c r="F16" s="41" t="s">
        <v>52</v>
      </c>
    </row>
    <row r="17" spans="1:6" ht="24">
      <c r="A17" s="22"/>
      <c r="B17" s="30">
        <v>45899</v>
      </c>
      <c r="C17" s="26" t="s">
        <v>71</v>
      </c>
      <c r="D17" s="40" t="s">
        <v>56</v>
      </c>
      <c r="E17" s="41">
        <v>853.59</v>
      </c>
      <c r="F17" s="41" t="s">
        <v>52</v>
      </c>
    </row>
    <row r="18" spans="1:6" ht="24">
      <c r="A18" s="22"/>
      <c r="B18" s="49"/>
      <c r="C18" s="49"/>
      <c r="D18" s="49" t="s">
        <v>17</v>
      </c>
      <c r="E18" s="25">
        <f>SUM(E4:E17)</f>
        <v>7624.62</v>
      </c>
      <c r="F18" s="50"/>
    </row>
    <row r="19" spans="1:6">
      <c r="A19" s="22"/>
    </row>
    <row r="20" spans="1:6">
      <c r="A20" s="22"/>
    </row>
    <row r="21" spans="1:6">
      <c r="A21" s="22"/>
    </row>
    <row r="22" spans="1:6">
      <c r="A22" s="22"/>
    </row>
    <row r="23" spans="1:6">
      <c r="A23" s="22"/>
    </row>
    <row r="24" spans="1:6">
      <c r="A24" s="22"/>
    </row>
    <row r="25" spans="1:6">
      <c r="A25" s="22"/>
    </row>
    <row r="26" spans="1:6">
      <c r="A26" s="22"/>
    </row>
    <row r="27" spans="1:6">
      <c r="A27" s="22"/>
    </row>
    <row r="28" spans="1:6">
      <c r="A28" s="22"/>
    </row>
    <row r="29" spans="1:6">
      <c r="A29" s="22"/>
    </row>
    <row r="30" spans="1:6">
      <c r="A30" s="22"/>
    </row>
    <row r="31" spans="1:6">
      <c r="A31" s="22"/>
    </row>
    <row r="32" spans="1:6">
      <c r="A32" s="22"/>
    </row>
    <row r="33" spans="1:5">
      <c r="A33" s="22"/>
    </row>
    <row r="34" spans="1:5">
      <c r="A34" s="24"/>
      <c r="B34" s="23"/>
      <c r="C34" s="23"/>
      <c r="D34" s="31"/>
      <c r="E34" s="23"/>
    </row>
    <row r="35" spans="1:5">
      <c r="A35" s="22"/>
    </row>
    <row r="36" spans="1:5">
      <c r="A36" s="22"/>
    </row>
  </sheetData>
  <autoFilter ref="B4:E18" xr:uid="{F2BE3BF7-5390-6248-94C2-92430F0F90B1}">
    <sortState xmlns:xlrd2="http://schemas.microsoft.com/office/spreadsheetml/2017/richdata2" ref="B5:E18">
      <sortCondition ref="D4:D18"/>
    </sortState>
  </autoFilter>
  <mergeCells count="1">
    <mergeCell ref="B3:F3"/>
  </mergeCells>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Timesheet - August 25</vt:lpstr>
      <vt:lpstr>Expenses for August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Sanmanya Sharma</dc:creator>
  <cp:lastModifiedBy>Sanmanya Sharma</cp:lastModifiedBy>
  <dcterms:created xsi:type="dcterms:W3CDTF">2025-07-14T05:04:04Z</dcterms:created>
  <dcterms:modified xsi:type="dcterms:W3CDTF">2025-09-03T07:23:38Z</dcterms:modified>
</cp:coreProperties>
</file>