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Desktop/Canpisce/"/>
    </mc:Choice>
  </mc:AlternateContent>
  <xr:revisionPtr revIDLastSave="0" documentId="13_ncr:1_{B58E5460-93A1-E044-9747-98610AF00154}" xr6:coauthVersionLast="47" xr6:coauthVersionMax="47" xr10:uidLastSave="{00000000-0000-0000-0000-000000000000}"/>
  <bookViews>
    <workbookView xWindow="0" yWindow="500" windowWidth="33600" windowHeight="20500" xr2:uid="{1D52E5A9-0151-C84D-AF8B-B33B11221F07}"/>
  </bookViews>
  <sheets>
    <sheet name="Timesheet - September 25" sheetId="1" r:id="rId1"/>
    <sheet name="Expenses for September" sheetId="2" r:id="rId2"/>
  </sheets>
  <definedNames>
    <definedName name="_xlnm._FilterDatabase" localSheetId="1" hidden="1">'Expenses for September'!$B$4:$E$13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41" i="1"/>
  <c r="C24" i="1"/>
  <c r="F15" i="1"/>
  <c r="C14" i="1" l="1"/>
  <c r="F14" i="1" s="1"/>
  <c r="E13" i="2"/>
  <c r="C16" i="1"/>
  <c r="F16" i="1" s="1"/>
  <c r="C17" i="1"/>
  <c r="F17" i="1" s="1"/>
  <c r="C18" i="1"/>
  <c r="F18" i="1" s="1"/>
  <c r="C19" i="1"/>
  <c r="C20" i="1"/>
  <c r="C21" i="1"/>
  <c r="C22" i="1"/>
  <c r="F22" i="1"/>
  <c r="C23" i="1"/>
  <c r="F23" i="1"/>
  <c r="F24" i="1"/>
  <c r="C25" i="1"/>
  <c r="F25" i="1"/>
  <c r="C26" i="1"/>
  <c r="F26" i="1" s="1"/>
  <c r="C27" i="1"/>
  <c r="C28" i="1"/>
  <c r="F28" i="1" s="1"/>
  <c r="C29" i="1"/>
  <c r="F29" i="1" s="1"/>
  <c r="C30" i="1"/>
  <c r="F30" i="1"/>
  <c r="C31" i="1"/>
  <c r="F31" i="1" s="1"/>
  <c r="C32" i="1"/>
  <c r="F32" i="1" s="1"/>
  <c r="C33" i="1"/>
  <c r="C34" i="1"/>
  <c r="C35" i="1"/>
  <c r="C36" i="1"/>
  <c r="F36" i="1" s="1"/>
  <c r="C37" i="1"/>
  <c r="F37" i="1" s="1"/>
  <c r="C38" i="1"/>
  <c r="F38" i="1" s="1"/>
  <c r="C39" i="1"/>
  <c r="F39" i="1" s="1"/>
  <c r="C40" i="1"/>
  <c r="F40" i="1" s="1"/>
  <c r="F41" i="1"/>
  <c r="C42" i="1"/>
  <c r="C43" i="1"/>
  <c r="F43" i="1"/>
  <c r="F42" i="1" l="1"/>
  <c r="F35" i="1"/>
  <c r="F21" i="1"/>
  <c r="F44" i="1" l="1"/>
</calcChain>
</file>

<file path=xl/sharedStrings.xml><?xml version="1.0" encoding="utf-8"?>
<sst xmlns="http://schemas.openxmlformats.org/spreadsheetml/2006/main" count="109" uniqueCount="52">
  <si>
    <t>Hrs</t>
  </si>
  <si>
    <t>Total hours invested</t>
  </si>
  <si>
    <t>NuTaste</t>
  </si>
  <si>
    <t>`</t>
  </si>
  <si>
    <t>Time In</t>
  </si>
  <si>
    <t>Time Invested</t>
  </si>
  <si>
    <t>Work Done</t>
  </si>
  <si>
    <t>Name of client</t>
  </si>
  <si>
    <t>Day</t>
  </si>
  <si>
    <t>Date</t>
  </si>
  <si>
    <t>Sanmanya Sharma</t>
  </si>
  <si>
    <t>Employee Name</t>
  </si>
  <si>
    <t xml:space="preserve">NuTaste </t>
  </si>
  <si>
    <t>Project Name</t>
  </si>
  <si>
    <t>New Delhi-110024</t>
  </si>
  <si>
    <t>D-105, Ground Floor, Defence Colony,</t>
  </si>
  <si>
    <t>Canpisce Consulting Pvt. Ltd.</t>
  </si>
  <si>
    <t>Total</t>
  </si>
  <si>
    <t>Amount</t>
  </si>
  <si>
    <t>Remarks</t>
  </si>
  <si>
    <t>Date of invoice</t>
  </si>
  <si>
    <t>Description</t>
  </si>
  <si>
    <t>WEEK OFF</t>
  </si>
  <si>
    <t>Grocery Invoice</t>
  </si>
  <si>
    <t>19:00</t>
  </si>
  <si>
    <t>Invoices (August 2025)</t>
  </si>
  <si>
    <t>Groceries for the Guest House.</t>
  </si>
  <si>
    <t>Bill Sr. No.</t>
  </si>
  <si>
    <t>S1</t>
  </si>
  <si>
    <t>S2</t>
  </si>
  <si>
    <t>S3</t>
  </si>
  <si>
    <t>S4</t>
  </si>
  <si>
    <t>S5</t>
  </si>
  <si>
    <t>S6</t>
  </si>
  <si>
    <t>S7</t>
  </si>
  <si>
    <t>S8</t>
  </si>
  <si>
    <t>Detailed Time Sheet from 1 September to 30 September 2025</t>
  </si>
  <si>
    <t>Buffer Penetration and S&amp;OP DMS. NuTaste MD DMS. Logistics Contract Master - Working on updating Contract Information and Analysis for E-Auction and Freight Estimation</t>
  </si>
  <si>
    <t>Buffer Penetration and S&amp;OP DMS. NuTaste MD DMS. Logistics Contract Master - Working on updating Contract Information with ne Om Logistics Contract and Analysis for E-Auction and Freight Estimation. Critical RM/PM Supplier Reliability Presentation</t>
  </si>
  <si>
    <t>ON Leave</t>
  </si>
  <si>
    <t>Sick Leave</t>
  </si>
  <si>
    <t>DMS.
MTA/MTO Inventory and Buffer Trend Analysis.</t>
  </si>
  <si>
    <t>DMS. Buffer Penetration</t>
  </si>
  <si>
    <t>Buffer Penetration and S&amp;OP DMS. Discussion with Rahul sir and Satish for Way-forward and Roadmap to handle Critical RM/PM that do not have reliable vendors. Logistics Contract Master - Analysis of Quatotaion from Gati</t>
  </si>
  <si>
    <t>Buffer Penetration and S&amp;OP DMS. Logistics Contract Master - Updating Zone Definitions for all Vendors according to NuTaste's criteria.</t>
  </si>
  <si>
    <t>Discussion with Rahul sir on Ensuring Supplier Reliability and E-Auction Strattegy. Buffer Penetration and S&amp;OP DMS. NuTaste MD DMS. Ensuring Supplier Reliability - Pitch Presentation.</t>
  </si>
  <si>
    <t>MTA/MTO Inventory and Buffer Trend Analysis. Vendor Reliability Rating Discussion with Amit sir and Leadership</t>
  </si>
  <si>
    <t>DMS.
MTA/MTO Inventory and Buffer Trend Analysis. Vendor Reliability Rating for Single Sourced Critical SKUs - Refining the spreadsheet for clear visibility of SKU, Vendor Name and Relevant Details for the Exercise.</t>
  </si>
  <si>
    <t>Updating Contract Details for DTDC. Discussion with S&amp;OP and Procurement for Critical Processes - 3 Days Lookahead, Pokayoke for Material Release for Urgent Orders, Adding Block for QC Pending Inventory to not show in Dispatch's Bin</t>
  </si>
  <si>
    <t>Telecom Service Top-Up</t>
  </si>
  <si>
    <t>Wifi Unavailable at Guest House Premises</t>
  </si>
  <si>
    <t xml:space="preserve"> Logistics Contract Master - Working on updating Contract Information with Om Logistics Contract and Analysis for E-Auction and Freight Estimation. Critical RM/PM Supplier Reliability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</si>
</sst>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;@"/>
    <numFmt numFmtId="165" formatCode="0.000000"/>
    <numFmt numFmtId="166" formatCode="dd/mm/yy;@"/>
  </numFmts>
  <fonts count="15">
    <font>
      <sz val="11"/>
      <color theme="1"/>
      <name val="Adani Regular"/>
      <family val="2"/>
    </font>
    <font>
      <sz val="12"/>
      <color rgb="FF006100"/>
      <name val="Aptos Narrow"/>
      <family val="2"/>
      <scheme val="minor"/>
    </font>
    <font>
      <sz val="14"/>
      <color theme="1"/>
      <name val="Adani Regular"/>
      <family val="2"/>
    </font>
    <font>
      <sz val="14"/>
      <color rgb="FFFFFFFF"/>
      <name val="Adani Regular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theme="9" tint="-0.499984740745262"/>
      <name val="Adani Regular"/>
      <family val="2"/>
    </font>
    <font>
      <b/>
      <sz val="12"/>
      <color theme="9" tint="-0.499984740745262"/>
      <name val="Calibri"/>
      <family val="2"/>
    </font>
    <font>
      <sz val="14"/>
      <color rgb="FFFF0000"/>
      <name val="Calibri"/>
      <family val="2"/>
    </font>
    <font>
      <b/>
      <sz val="18"/>
      <color theme="1"/>
      <name val="Aptos Narrow"/>
      <family val="2"/>
      <scheme val="minor"/>
    </font>
    <font>
      <sz val="18"/>
      <color theme="1"/>
      <name val="Adani Regular"/>
      <family val="2"/>
    </font>
    <font>
      <sz val="18"/>
      <color theme="1"/>
      <name val="Aptos Narrow"/>
      <family val="2"/>
      <scheme val="minor"/>
    </font>
    <font>
      <sz val="12"/>
      <color theme="3"/>
      <name val="Aptos Narrow"/>
      <family val="2"/>
      <scheme val="minor"/>
    </font>
    <font>
      <sz val="11"/>
      <color theme="3"/>
      <name val="Adani Regular"/>
      <family val="2"/>
    </font>
    <font>
      <sz val="8"/>
      <name val="Adani Regular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theme="7" tint="0.39997558519241921"/>
      </top>
      <bottom style="thin">
        <color theme="7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wrapText="1"/>
    </xf>
    <xf numFmtId="20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15" fontId="0" fillId="0" borderId="0" xfId="0" applyNumberFormat="1"/>
    <xf numFmtId="0" fontId="0" fillId="0" borderId="4" xfId="0" applyBorder="1"/>
    <xf numFmtId="15" fontId="0" fillId="0" borderId="4" xfId="0" applyNumberFormat="1" applyBorder="1"/>
    <xf numFmtId="2" fontId="9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6" fontId="0" fillId="0" borderId="0" xfId="0" applyNumberFormat="1"/>
    <xf numFmtId="166" fontId="9" fillId="0" borderId="1" xfId="0" applyNumberFormat="1" applyFont="1" applyBorder="1" applyAlignment="1">
      <alignment horizontal="center"/>
    </xf>
    <xf numFmtId="166" fontId="10" fillId="0" borderId="1" xfId="0" applyNumberFormat="1" applyFont="1" applyBorder="1"/>
    <xf numFmtId="166" fontId="0" fillId="0" borderId="4" xfId="0" applyNumberFormat="1" applyBorder="1"/>
    <xf numFmtId="0" fontId="12" fillId="0" borderId="0" xfId="1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2" fillId="0" borderId="0" xfId="1" applyFont="1" applyFill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9" fillId="0" borderId="1" xfId="0" applyFont="1" applyBorder="1"/>
    <xf numFmtId="0" fontId="0" fillId="0" borderId="8" xfId="0" applyBorder="1"/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horizontal="center" wrapText="1"/>
    </xf>
    <xf numFmtId="0" fontId="9" fillId="3" borderId="6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33"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9" tint="0.59996337778862885"/>
        </patternFill>
      </fill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64" formatCode="hh:mm:ss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25" formatCode="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9" tint="-0.499984740745262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3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05AAC-8089-8543-AAC5-4C0214910861}" name="Table13" displayName="Table13" ref="B13:H43" totalsRowShown="0" headerRowDxfId="32" dataDxfId="30" headerRowBorderDxfId="31" tableBorderDxfId="29" totalsRowBorderDxfId="28" dataCellStyle="Normal">
  <autoFilter ref="B13:H43" xr:uid="{4FC8EB3C-7713-EE49-A8D6-26D0DBF00197}"/>
  <tableColumns count="7">
    <tableColumn id="1" xr3:uid="{C6D7D863-9C5C-C34C-B013-EA2130378483}" name="Date" dataDxfId="27" dataCellStyle="Normal"/>
    <tableColumn id="2" xr3:uid="{2B445A16-C309-F74B-A116-C30E0419F3E4}" name="Day" dataDxfId="26" dataCellStyle="Normal">
      <calculatedColumnFormula>TEXT(B14,"DDDD")</calculatedColumnFormula>
    </tableColumn>
    <tableColumn id="3" xr3:uid="{1313E5DD-42B5-6A4B-9575-DCECC13B9BD4}" name="Name of client" dataDxfId="25" dataCellStyle="Normal"/>
    <tableColumn id="4" xr3:uid="{90B9447B-6C3F-764D-B9C9-C99B73F6B2B4}" name="Work Done" dataDxfId="24" dataCellStyle="Normal"/>
    <tableColumn id="5" xr3:uid="{A395D877-3C8A-E746-ABA0-67779F14BA6D}" name="Time Invested" dataDxfId="23" dataCellStyle="Normal">
      <calculatedColumnFormula>IF(Table13[[#This Row],[Work Done]]="WEEK OFF", "00:00", Table13[[#This Row],[19:00]]-Table13[[#This Row],[Time In]])</calculatedColumnFormula>
    </tableColumn>
    <tableColumn id="6" xr3:uid="{6F472C81-7AD2-724C-971A-039259A6ECF2}" name="Time In" dataDxfId="22" dataCellStyle="Normal"/>
    <tableColumn id="7" xr3:uid="{8B4DABA9-5A8D-E44A-B61B-CB3F337DD4C3}" name="19:00" dataDxfId="21" dataCellStyle="Norma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0484-65D3-4544-8992-64DF40F40EDC}">
  <dimension ref="B5:K45"/>
  <sheetViews>
    <sheetView tabSelected="1" topLeftCell="A11" zoomScale="113" workbookViewId="0">
      <selection activeCell="E48" sqref="E48"/>
    </sheetView>
  </sheetViews>
  <sheetFormatPr baseColWidth="10" defaultRowHeight="18"/>
  <cols>
    <col min="1" max="1" width="7.5" style="1" customWidth="1"/>
    <col min="2" max="2" width="15.33203125" style="1" customWidth="1"/>
    <col min="3" max="3" width="20.5" style="1" customWidth="1"/>
    <col min="4" max="4" width="28" style="1" customWidth="1"/>
    <col min="5" max="5" width="48.1640625" style="1" customWidth="1"/>
    <col min="6" max="6" width="13.5" style="2" customWidth="1"/>
    <col min="7" max="7" width="10.83203125" style="3"/>
    <col min="8" max="8" width="13.83203125" style="2" bestFit="1" customWidth="1"/>
    <col min="9" max="16384" width="10.83203125" style="1"/>
  </cols>
  <sheetData>
    <row r="5" spans="2:8" ht="19">
      <c r="B5" s="42" t="s">
        <v>16</v>
      </c>
      <c r="C5" s="42"/>
      <c r="D5" s="17"/>
      <c r="E5" s="19"/>
      <c r="F5" s="17"/>
      <c r="G5" s="18"/>
      <c r="H5" s="17"/>
    </row>
    <row r="6" spans="2:8" ht="19">
      <c r="B6" s="42" t="s">
        <v>15</v>
      </c>
      <c r="C6" s="42"/>
      <c r="D6" s="42"/>
      <c r="E6" s="45"/>
      <c r="F6" s="41"/>
      <c r="G6" s="46"/>
      <c r="H6" s="41"/>
    </row>
    <row r="7" spans="2:8" ht="19">
      <c r="B7" s="42" t="s">
        <v>14</v>
      </c>
      <c r="C7" s="42"/>
      <c r="D7" s="42"/>
      <c r="E7" s="45"/>
      <c r="F7" s="41"/>
      <c r="G7" s="46"/>
      <c r="H7" s="41"/>
    </row>
    <row r="8" spans="2:8" ht="19">
      <c r="B8" s="19"/>
      <c r="C8" s="17"/>
      <c r="D8" s="17"/>
      <c r="E8" s="19"/>
      <c r="F8" s="17"/>
      <c r="G8" s="18"/>
      <c r="H8" s="17"/>
    </row>
    <row r="9" spans="2:8" ht="20" customHeight="1">
      <c r="B9" s="43" t="s">
        <v>36</v>
      </c>
      <c r="C9" s="43"/>
      <c r="D9" s="43"/>
      <c r="E9" s="19" t="s">
        <v>3</v>
      </c>
      <c r="F9" s="17"/>
      <c r="G9" s="18"/>
      <c r="H9" s="17"/>
    </row>
    <row r="10" spans="2:8" ht="20">
      <c r="B10" s="20" t="s">
        <v>13</v>
      </c>
      <c r="C10" s="21" t="s">
        <v>12</v>
      </c>
      <c r="D10" s="17"/>
      <c r="E10" s="19"/>
      <c r="F10" s="17"/>
      <c r="G10" s="18"/>
      <c r="H10" s="17"/>
    </row>
    <row r="11" spans="2:8" ht="40">
      <c r="B11" s="20" t="s">
        <v>11</v>
      </c>
      <c r="C11" s="44" t="s">
        <v>10</v>
      </c>
      <c r="D11" s="44"/>
      <c r="E11" s="45"/>
      <c r="F11" s="45"/>
      <c r="G11" s="18"/>
      <c r="H11" s="17"/>
    </row>
    <row r="12" spans="2:8" ht="19">
      <c r="B12" s="20"/>
      <c r="C12" s="17"/>
      <c r="D12" s="17"/>
      <c r="E12" s="19"/>
      <c r="F12" s="17"/>
      <c r="G12" s="18"/>
      <c r="H12" s="17"/>
    </row>
    <row r="13" spans="2:8" ht="40">
      <c r="B13" s="16" t="s">
        <v>9</v>
      </c>
      <c r="C13" s="14" t="s">
        <v>8</v>
      </c>
      <c r="D13" s="15" t="s">
        <v>7</v>
      </c>
      <c r="E13" s="14" t="s">
        <v>6</v>
      </c>
      <c r="F13" s="14" t="s">
        <v>5</v>
      </c>
      <c r="G13" s="13" t="s">
        <v>4</v>
      </c>
      <c r="H13" s="8" t="s">
        <v>24</v>
      </c>
    </row>
    <row r="14" spans="2:8" ht="75">
      <c r="B14" s="12">
        <v>45901</v>
      </c>
      <c r="C14" s="32" t="str">
        <f t="shared" ref="C14:C43" si="0">TEXT(B14,"DDDD")</f>
        <v>Monday</v>
      </c>
      <c r="D14" s="11" t="s">
        <v>2</v>
      </c>
      <c r="E14" s="10" t="s">
        <v>47</v>
      </c>
      <c r="F14" s="8">
        <f>IF(Table13[[#This Row],[Work Done]]="WEEK OFF", "00:00", Table13[[#This Row],[19:00]]-Table13[[#This Row],[Time In]])</f>
        <v>0.39583333333333331</v>
      </c>
      <c r="G14" s="9">
        <v>0.39583333333333331</v>
      </c>
      <c r="H14" s="8">
        <v>0.79166666666666663</v>
      </c>
    </row>
    <row r="15" spans="2:8" ht="75">
      <c r="B15" s="12">
        <v>45902</v>
      </c>
      <c r="C15" s="32" t="str">
        <f t="shared" si="0"/>
        <v>Tuesday</v>
      </c>
      <c r="D15" s="11" t="s">
        <v>2</v>
      </c>
      <c r="E15" s="10" t="s">
        <v>47</v>
      </c>
      <c r="F15" s="8">
        <f>IF(Table13[[#This Row],[Work Done]]="WEEK OFF", "00:00", Table13[[#This Row],[19:00]]-Table13[[#This Row],[Time In]])</f>
        <v>0.39583333333333331</v>
      </c>
      <c r="G15" s="9">
        <v>0.39583333333333331</v>
      </c>
      <c r="H15" s="8">
        <v>0.79166666666666663</v>
      </c>
    </row>
    <row r="16" spans="2:8" ht="30">
      <c r="B16" s="12">
        <v>45903</v>
      </c>
      <c r="C16" s="32" t="str">
        <f t="shared" si="0"/>
        <v>Wednesday</v>
      </c>
      <c r="D16" s="11" t="s">
        <v>2</v>
      </c>
      <c r="E16" s="10" t="s">
        <v>46</v>
      </c>
      <c r="F16" s="8">
        <f>IF(Table13[[#This Row],[Work Done]]="WEEK OFF", "00:00", Table13[[#This Row],[19:00]]-Table13[[#This Row],[Time In]])</f>
        <v>0.39583333333333331</v>
      </c>
      <c r="G16" s="9">
        <v>0.39583333333333331</v>
      </c>
      <c r="H16" s="8">
        <v>0.79166666666666663</v>
      </c>
    </row>
    <row r="17" spans="2:11" ht="30">
      <c r="B17" s="12">
        <v>45904</v>
      </c>
      <c r="C17" s="32" t="str">
        <f t="shared" si="0"/>
        <v>Thursday</v>
      </c>
      <c r="D17" s="11" t="s">
        <v>2</v>
      </c>
      <c r="E17" s="10" t="s">
        <v>41</v>
      </c>
      <c r="F17" s="8">
        <f>IF(Table13[[#This Row],[Work Done]]="WEEK OFF", "00:00", Table13[[#This Row],[19:00]]-Table13[[#This Row],[Time In]])</f>
        <v>0.39583333333333331</v>
      </c>
      <c r="G17" s="9">
        <v>0.39583333333333331</v>
      </c>
      <c r="H17" s="8">
        <v>0.79166666666666663</v>
      </c>
    </row>
    <row r="18" spans="2:11">
      <c r="B18" s="12">
        <v>45905</v>
      </c>
      <c r="C18" s="34" t="str">
        <f t="shared" si="0"/>
        <v>Friday</v>
      </c>
      <c r="D18" s="11" t="s">
        <v>2</v>
      </c>
      <c r="E18" s="10"/>
      <c r="F18" s="8">
        <f>IF(Table13[[#This Row],[Work Done]]="WEEK OFF", "00:00", Table13[[#This Row],[19:00]]-Table13[[#This Row],[Time In]])</f>
        <v>0.39583333333333331</v>
      </c>
      <c r="G18" s="9">
        <v>0.39583333333333331</v>
      </c>
      <c r="H18" s="8">
        <v>0.79166666666666663</v>
      </c>
    </row>
    <row r="19" spans="2:11">
      <c r="B19" s="12">
        <v>45906</v>
      </c>
      <c r="C19" s="35" t="str">
        <f t="shared" si="0"/>
        <v>Saturday</v>
      </c>
      <c r="D19" s="11" t="s">
        <v>2</v>
      </c>
      <c r="E19" s="10" t="s">
        <v>22</v>
      </c>
      <c r="F19" s="8">
        <v>0</v>
      </c>
      <c r="G19" s="8">
        <v>0</v>
      </c>
      <c r="H19" s="8">
        <v>0</v>
      </c>
      <c r="K19" s="1" t="s">
        <v>3</v>
      </c>
    </row>
    <row r="20" spans="2:11">
      <c r="B20" s="12">
        <v>45907</v>
      </c>
      <c r="C20" s="34" t="str">
        <f t="shared" si="0"/>
        <v>Sunday</v>
      </c>
      <c r="D20" s="11" t="s">
        <v>2</v>
      </c>
      <c r="E20" s="10" t="s">
        <v>22</v>
      </c>
      <c r="F20" s="8">
        <v>0</v>
      </c>
      <c r="G20" s="8">
        <v>0</v>
      </c>
      <c r="H20" s="8">
        <v>0</v>
      </c>
    </row>
    <row r="21" spans="2:11" ht="30">
      <c r="B21" s="12">
        <v>45908</v>
      </c>
      <c r="C21" s="33" t="str">
        <f t="shared" si="0"/>
        <v>Monday</v>
      </c>
      <c r="D21" s="11" t="s">
        <v>2</v>
      </c>
      <c r="E21" s="10" t="s">
        <v>41</v>
      </c>
      <c r="F21" s="8">
        <f>IF(Table13[[#This Row],[Work Done]]="WEEK OFF", "00:00", Table13[[#This Row],[19:00]]-Table13[[#This Row],[Time In]])</f>
        <v>0.39583333333333331</v>
      </c>
      <c r="G21" s="9">
        <v>0.39583333333333331</v>
      </c>
      <c r="H21" s="8">
        <v>0.79166666666666663</v>
      </c>
    </row>
    <row r="22" spans="2:11" ht="60">
      <c r="B22" s="12">
        <v>45909</v>
      </c>
      <c r="C22" s="33" t="str">
        <f t="shared" si="0"/>
        <v>Tuesday</v>
      </c>
      <c r="D22" s="11" t="s">
        <v>2</v>
      </c>
      <c r="E22" s="10" t="s">
        <v>43</v>
      </c>
      <c r="F22" s="8">
        <f>IF(Table13[[#This Row],[Work Done]]="WEEK OFF", "00:00", Table13[[#This Row],[19:00]]-Table13[[#This Row],[Time In]])</f>
        <v>0.39583333333333331</v>
      </c>
      <c r="G22" s="9">
        <v>0.39583333333333331</v>
      </c>
      <c r="H22" s="8">
        <v>0.79166666666666663</v>
      </c>
    </row>
    <row r="23" spans="2:11" ht="75">
      <c r="B23" s="12">
        <v>45910</v>
      </c>
      <c r="C23" s="33" t="str">
        <f t="shared" si="0"/>
        <v>Wednesday</v>
      </c>
      <c r="D23" s="11" t="s">
        <v>2</v>
      </c>
      <c r="E23" s="10" t="s">
        <v>48</v>
      </c>
      <c r="F23" s="8">
        <f>IF(Table13[[#This Row],[Work Done]]="WEEK OFF", "00:00", Table13[[#This Row],[19:00]]-Table13[[#This Row],[Time In]])</f>
        <v>0.39583333333333331</v>
      </c>
      <c r="G23" s="9">
        <v>0.39583333333333331</v>
      </c>
      <c r="H23" s="8">
        <v>0.79166666666666663</v>
      </c>
    </row>
    <row r="24" spans="2:11" ht="45">
      <c r="B24" s="12">
        <v>45911</v>
      </c>
      <c r="C24" s="33" t="str">
        <f t="shared" si="0"/>
        <v>Thursday</v>
      </c>
      <c r="D24" s="11" t="s">
        <v>2</v>
      </c>
      <c r="E24" s="10" t="s">
        <v>44</v>
      </c>
      <c r="F24" s="8">
        <f>IF(Table13[[#This Row],[Work Done]]="WEEK OFF", "00:00", Table13[[#This Row],[19:00]]-Table13[[#This Row],[Time In]])</f>
        <v>0.39583333333333331</v>
      </c>
      <c r="G24" s="9">
        <v>0.39583333333333331</v>
      </c>
      <c r="H24" s="8">
        <v>0.79166666666666663</v>
      </c>
    </row>
    <row r="25" spans="2:11">
      <c r="B25" s="12">
        <v>45912</v>
      </c>
      <c r="C25" s="33" t="str">
        <f t="shared" si="0"/>
        <v>Friday</v>
      </c>
      <c r="D25" s="11" t="s">
        <v>2</v>
      </c>
      <c r="E25" s="10" t="s">
        <v>40</v>
      </c>
      <c r="F25" s="8">
        <f>IF(Table13[[#This Row],[Work Done]]="WEEK OFF", "00:00", Table13[[#This Row],[19:00]]-Table13[[#This Row],[Time In]])</f>
        <v>0</v>
      </c>
      <c r="G25" s="9">
        <v>0</v>
      </c>
      <c r="H25" s="8">
        <v>0</v>
      </c>
    </row>
    <row r="26" spans="2:11">
      <c r="B26" s="12">
        <v>45913</v>
      </c>
      <c r="C26" s="35" t="str">
        <f t="shared" si="0"/>
        <v>Saturday</v>
      </c>
      <c r="D26" s="11" t="s">
        <v>2</v>
      </c>
      <c r="E26" s="10" t="s">
        <v>42</v>
      </c>
      <c r="F26" s="8">
        <f>IF(Table13[[#This Row],[Work Done]]="WEEK OFF", "00:00", Table13[[#This Row],[19:00]]-Table13[[#This Row],[Time In]])</f>
        <v>0.39583333333333331</v>
      </c>
      <c r="G26" s="9">
        <v>0.39583333333333331</v>
      </c>
      <c r="H26" s="8">
        <v>0.79166666666666663</v>
      </c>
    </row>
    <row r="27" spans="2:11">
      <c r="B27" s="12">
        <v>45914</v>
      </c>
      <c r="C27" s="33" t="str">
        <f t="shared" si="0"/>
        <v>Sunday</v>
      </c>
      <c r="D27" s="11" t="s">
        <v>2</v>
      </c>
      <c r="E27" s="10" t="s">
        <v>22</v>
      </c>
      <c r="F27" s="8">
        <v>0</v>
      </c>
      <c r="G27" s="8">
        <v>0</v>
      </c>
      <c r="H27" s="8">
        <v>0</v>
      </c>
    </row>
    <row r="28" spans="2:11">
      <c r="B28" s="12">
        <v>45915</v>
      </c>
      <c r="C28" s="34" t="str">
        <f t="shared" si="0"/>
        <v>Monday</v>
      </c>
      <c r="D28" s="11" t="s">
        <v>2</v>
      </c>
      <c r="E28" s="10" t="s">
        <v>40</v>
      </c>
      <c r="F28" s="8">
        <f>IF(Table13[[#This Row],[Work Done]]="WEEK OFF", "00:00", Table13[[#This Row],[19:00]]-Table13[[#This Row],[Time In]])</f>
        <v>0</v>
      </c>
      <c r="G28" s="8">
        <v>0</v>
      </c>
      <c r="H28" s="8">
        <v>0</v>
      </c>
    </row>
    <row r="29" spans="2:11" ht="62" customHeight="1">
      <c r="B29" s="12">
        <v>45916</v>
      </c>
      <c r="C29" s="34" t="str">
        <f t="shared" si="0"/>
        <v>Tuesday</v>
      </c>
      <c r="D29" s="11" t="s">
        <v>2</v>
      </c>
      <c r="E29" s="10" t="s">
        <v>37</v>
      </c>
      <c r="F29" s="8">
        <f>IF(Table13[[#This Row],[Work Done]]="WEEK OFF", "00:00", Table13[[#This Row],[19:00]]-Table13[[#This Row],[Time In]])</f>
        <v>0.39583333333333331</v>
      </c>
      <c r="G29" s="9">
        <v>0.39583333333333331</v>
      </c>
      <c r="H29" s="8">
        <v>0.79166666666666663</v>
      </c>
    </row>
    <row r="30" spans="2:11" ht="50" customHeight="1">
      <c r="B30" s="12">
        <v>45917</v>
      </c>
      <c r="C30" s="34" t="str">
        <f t="shared" si="0"/>
        <v>Wednesday</v>
      </c>
      <c r="D30" s="11" t="s">
        <v>2</v>
      </c>
      <c r="E30" s="10" t="s">
        <v>37</v>
      </c>
      <c r="F30" s="8">
        <f>IF(Table13[[#This Row],[Work Done]]="WEEK OFF", "00:00", Table13[[#This Row],[19:00]]-Table13[[#This Row],[Time In]])</f>
        <v>0.39583333333333331</v>
      </c>
      <c r="G30" s="9">
        <v>0.39583333333333331</v>
      </c>
      <c r="H30" s="8">
        <v>0.79166666666666663</v>
      </c>
    </row>
    <row r="31" spans="2:11" ht="60">
      <c r="B31" s="12">
        <v>45918</v>
      </c>
      <c r="C31" s="34" t="str">
        <f t="shared" si="0"/>
        <v>Thursday</v>
      </c>
      <c r="D31" s="11" t="s">
        <v>2</v>
      </c>
      <c r="E31" s="10" t="s">
        <v>37</v>
      </c>
      <c r="F31" s="8">
        <f>IF(Table13[[#This Row],[Work Done]]="WEEK OFF", "00:00", Table13[[#This Row],[19:00]]-Table13[[#This Row],[Time In]])</f>
        <v>0.39583333333333331</v>
      </c>
      <c r="G31" s="9">
        <v>0.39583333333333331</v>
      </c>
      <c r="H31" s="8">
        <v>0.79166666666666663</v>
      </c>
    </row>
    <row r="32" spans="2:11" ht="74" customHeight="1">
      <c r="B32" s="12">
        <v>45919</v>
      </c>
      <c r="C32" s="34" t="str">
        <f t="shared" si="0"/>
        <v>Friday</v>
      </c>
      <c r="D32" s="11" t="s">
        <v>2</v>
      </c>
      <c r="E32" s="10" t="s">
        <v>37</v>
      </c>
      <c r="F32" s="8">
        <f>IF(Table13[[#This Row],[Work Done]]="WEEK OFF", "00:00", Table13[[#This Row],[19:00]]-Table13[[#This Row],[Time In]])</f>
        <v>0.39583333333333331</v>
      </c>
      <c r="G32" s="9">
        <v>0.39583333333333331</v>
      </c>
      <c r="H32" s="8">
        <v>0.79166666666666663</v>
      </c>
    </row>
    <row r="33" spans="2:8" ht="70" customHeight="1">
      <c r="B33" s="12">
        <v>45920</v>
      </c>
      <c r="C33" s="35" t="str">
        <f t="shared" si="0"/>
        <v>Saturday</v>
      </c>
      <c r="D33" s="11" t="s">
        <v>2</v>
      </c>
      <c r="E33" s="10" t="s">
        <v>22</v>
      </c>
      <c r="F33" s="8">
        <v>0</v>
      </c>
      <c r="G33" s="8">
        <v>0</v>
      </c>
      <c r="H33" s="8">
        <v>0</v>
      </c>
    </row>
    <row r="34" spans="2:8">
      <c r="B34" s="12">
        <v>45921</v>
      </c>
      <c r="C34" s="34" t="str">
        <f t="shared" si="0"/>
        <v>Sunday</v>
      </c>
      <c r="D34" s="11" t="s">
        <v>2</v>
      </c>
      <c r="E34" s="10" t="s">
        <v>22</v>
      </c>
      <c r="F34" s="8">
        <v>0</v>
      </c>
      <c r="G34" s="8">
        <v>0</v>
      </c>
      <c r="H34" s="8">
        <v>0</v>
      </c>
    </row>
    <row r="35" spans="2:8" ht="60">
      <c r="B35" s="12">
        <v>45922</v>
      </c>
      <c r="C35" s="33" t="str">
        <f t="shared" si="0"/>
        <v>Monday</v>
      </c>
      <c r="D35" s="11" t="s">
        <v>2</v>
      </c>
      <c r="E35" s="10" t="s">
        <v>37</v>
      </c>
      <c r="F35" s="8">
        <f>IF(Table13[[#This Row],[Work Done]]="WEEK OFF", "00:00", Table13[[#This Row],[19:00]]-Table13[[#This Row],[Time In]])</f>
        <v>0.39583333333333331</v>
      </c>
      <c r="G35" s="9">
        <v>0.39583333333333331</v>
      </c>
      <c r="H35" s="8">
        <v>0.79166666666666663</v>
      </c>
    </row>
    <row r="36" spans="2:8" ht="60">
      <c r="B36" s="12">
        <v>45923</v>
      </c>
      <c r="C36" s="33" t="str">
        <f t="shared" si="0"/>
        <v>Tuesday</v>
      </c>
      <c r="D36" s="11" t="s">
        <v>2</v>
      </c>
      <c r="E36" s="10" t="s">
        <v>45</v>
      </c>
      <c r="F36" s="8">
        <f>IF(Table13[[#This Row],[Work Done]]="WEEK OFF", "00:00", Table13[[#This Row],[19:00]]-Table13[[#This Row],[Time In]])</f>
        <v>0.43749999999999994</v>
      </c>
      <c r="G36" s="9">
        <v>0.35416666666666669</v>
      </c>
      <c r="H36" s="8">
        <v>0.79166666666666663</v>
      </c>
    </row>
    <row r="37" spans="2:8" ht="75">
      <c r="B37" s="12">
        <v>45924</v>
      </c>
      <c r="C37" s="33" t="str">
        <f t="shared" si="0"/>
        <v>Wednesday</v>
      </c>
      <c r="D37" s="11" t="s">
        <v>2</v>
      </c>
      <c r="E37" s="10" t="s">
        <v>38</v>
      </c>
      <c r="F37" s="8">
        <f>IF(Table13[[#This Row],[Work Done]]="WEEK OFF", "00:00", Table13[[#This Row],[19:00]]-Table13[[#This Row],[Time In]])</f>
        <v>0.39583333333333331</v>
      </c>
      <c r="G37" s="9">
        <v>0.39583333333333331</v>
      </c>
      <c r="H37" s="8">
        <v>0.79166666666666663</v>
      </c>
    </row>
    <row r="38" spans="2:8">
      <c r="B38" s="12">
        <v>45925</v>
      </c>
      <c r="C38" s="34" t="str">
        <f t="shared" si="0"/>
        <v>Thursday</v>
      </c>
      <c r="D38" s="11" t="s">
        <v>2</v>
      </c>
      <c r="E38" s="10" t="s">
        <v>39</v>
      </c>
      <c r="F38" s="8">
        <f>IF(Table13[[#This Row],[Work Done]]="WEEK OFF", "00:00", Table13[[#This Row],[19:00]]-Table13[[#This Row],[Time In]])</f>
        <v>0</v>
      </c>
      <c r="G38" s="9">
        <v>0</v>
      </c>
      <c r="H38" s="8">
        <v>0</v>
      </c>
    </row>
    <row r="39" spans="2:8">
      <c r="B39" s="12">
        <v>45926</v>
      </c>
      <c r="C39" s="33" t="str">
        <f t="shared" si="0"/>
        <v>Friday</v>
      </c>
      <c r="D39" s="11" t="s">
        <v>2</v>
      </c>
      <c r="E39" s="10" t="s">
        <v>39</v>
      </c>
      <c r="F39" s="8">
        <f>IF(Table13[[#This Row],[Work Done]]="WEEK OFF", "00:00", Table13[[#This Row],[19:00]]-Table13[[#This Row],[Time In]])</f>
        <v>0</v>
      </c>
      <c r="G39" s="9">
        <v>0</v>
      </c>
      <c r="H39" s="8">
        <v>0</v>
      </c>
    </row>
    <row r="40" spans="2:8">
      <c r="B40" s="12">
        <v>45927</v>
      </c>
      <c r="C40" s="35" t="str">
        <f t="shared" si="0"/>
        <v>Saturday</v>
      </c>
      <c r="D40" s="11" t="s">
        <v>2</v>
      </c>
      <c r="E40" s="10" t="s">
        <v>39</v>
      </c>
      <c r="F40" s="8">
        <f>IF(Table13[[#This Row],[Work Done]]="WEEK OFF", "00:00", Table13[[#This Row],[19:00]]-Table13[[#This Row],[Time In]])</f>
        <v>0</v>
      </c>
      <c r="G40" s="9">
        <v>0</v>
      </c>
      <c r="H40" s="8">
        <v>0</v>
      </c>
    </row>
    <row r="41" spans="2:8" ht="58" customHeight="1">
      <c r="B41" s="12">
        <v>45928</v>
      </c>
      <c r="C41" s="33" t="str">
        <f t="shared" si="0"/>
        <v>Sunday</v>
      </c>
      <c r="D41" s="11" t="s">
        <v>2</v>
      </c>
      <c r="E41" s="10" t="s">
        <v>22</v>
      </c>
      <c r="F41" s="8" t="str">
        <f>IF(Table13[[#This Row],[Work Done]]="WEEK OFF", "00:00", Table13[[#This Row],[19:00]]-Table13[[#This Row],[Time In]])</f>
        <v>00:00</v>
      </c>
      <c r="G41" s="9">
        <v>0</v>
      </c>
      <c r="H41" s="8">
        <v>0</v>
      </c>
    </row>
    <row r="42" spans="2:8" ht="44" customHeight="1">
      <c r="B42" s="12">
        <v>45929</v>
      </c>
      <c r="C42" s="34" t="str">
        <f t="shared" si="0"/>
        <v>Monday</v>
      </c>
      <c r="D42" s="11" t="s">
        <v>2</v>
      </c>
      <c r="E42" s="10" t="s">
        <v>39</v>
      </c>
      <c r="F42" s="8">
        <f>IF(Table13[[#This Row],[Work Done]]="WEEK OFF", "00:00", Table13[[#This Row],[19:00]]-Table13[[#This Row],[Time In]])</f>
        <v>0.39583333333333331</v>
      </c>
      <c r="G42" s="9">
        <v>0.39583333333333331</v>
      </c>
      <c r="H42" s="8">
        <v>0.79166666666666663</v>
      </c>
    </row>
    <row r="43" spans="2:8" ht="60">
      <c r="B43" s="12">
        <v>45930</v>
      </c>
      <c r="C43" s="33" t="str">
        <f t="shared" si="0"/>
        <v>Tuesday</v>
      </c>
      <c r="D43" s="11" t="s">
        <v>2</v>
      </c>
      <c r="E43" s="10" t="s">
        <v>51</v>
      </c>
      <c r="F43" s="8">
        <f>IF(Table13[[#This Row],[Work Done]]="WEEK OFF", "00:00", Table13[[#This Row],[19:00]]-Table13[[#This Row],[Time In]])</f>
        <v>0.27430555555555547</v>
      </c>
      <c r="G43" s="9">
        <v>0.51736111111111116</v>
      </c>
      <c r="H43" s="8">
        <v>0.79166666666666663</v>
      </c>
    </row>
    <row r="44" spans="2:8" ht="20">
      <c r="E44" s="7" t="s">
        <v>1</v>
      </c>
      <c r="F44" s="6">
        <f>SUM(F14:F43)*24</f>
        <v>178.58333333333329</v>
      </c>
      <c r="G44" s="5" t="s">
        <v>0</v>
      </c>
      <c r="H44" s="4">
        <v>123</v>
      </c>
    </row>
    <row r="45" spans="2:8">
      <c r="G45" s="4">
        <v>1111</v>
      </c>
      <c r="H45" s="36"/>
    </row>
  </sheetData>
  <mergeCells count="10">
    <mergeCell ref="B5:C5"/>
    <mergeCell ref="B6:D6"/>
    <mergeCell ref="E6:E7"/>
    <mergeCell ref="F6:F7"/>
    <mergeCell ref="G6:G7"/>
    <mergeCell ref="H6:H7"/>
    <mergeCell ref="B7:D7"/>
    <mergeCell ref="B9:D9"/>
    <mergeCell ref="C11:D11"/>
    <mergeCell ref="E11:F11"/>
  </mergeCells>
  <conditionalFormatting sqref="B1:B1048576">
    <cfRule type="expression" dxfId="20" priority="23" stopIfTrue="1">
      <formula>"C14=""Sunday"""</formula>
    </cfRule>
  </conditionalFormatting>
  <conditionalFormatting sqref="C1:C1048576">
    <cfRule type="containsText" dxfId="19" priority="18" operator="containsText" text="Sunday">
      <formula>NOT(ISERROR(SEARCH("Sunday",C1)))</formula>
    </cfRule>
  </conditionalFormatting>
  <conditionalFormatting sqref="D1:D1048576">
    <cfRule type="expression" dxfId="18" priority="11">
      <formula>"if($C15=""Sunday"")"</formula>
    </cfRule>
  </conditionalFormatting>
  <conditionalFormatting sqref="E1:E1048576">
    <cfRule type="expression" dxfId="17" priority="14">
      <formula>$C1="Sunday"</formula>
    </cfRule>
    <cfRule type="containsText" dxfId="16" priority="24" stopIfTrue="1" operator="containsText" text="&quot;LEAVE&quot; ">
      <formula>NOT(ISERROR(SEARCH("""LEAVE"" ",E1)))</formula>
    </cfRule>
    <cfRule type="containsText" dxfId="15" priority="27" operator="containsText" text="WEEK OFF">
      <formula>NOT(ISERROR(SEARCH("WEEK OFF",E1)))</formula>
    </cfRule>
  </conditionalFormatting>
  <conditionalFormatting sqref="F1:F18 F21:F26 F28:F32 F35:F40 F42:F1048576">
    <cfRule type="expression" dxfId="14" priority="17" stopIfTrue="1">
      <formula>"if(E:E=""LEAVE"")"</formula>
    </cfRule>
  </conditionalFormatting>
  <conditionalFormatting sqref="F14:F18 F21:F26 F28:F32 F35:F40 F42:F44">
    <cfRule type="cellIs" dxfId="13" priority="26" operator="lessThan">
      <formula>0.013</formula>
    </cfRule>
  </conditionalFormatting>
  <conditionalFormatting sqref="F20">
    <cfRule type="cellIs" dxfId="12" priority="3" operator="lessThan">
      <formula>0.013</formula>
    </cfRule>
  </conditionalFormatting>
  <conditionalFormatting sqref="F27">
    <cfRule type="cellIs" dxfId="11" priority="8" operator="lessThan">
      <formula>0.013</formula>
    </cfRule>
  </conditionalFormatting>
  <conditionalFormatting sqref="F33:F34">
    <cfRule type="cellIs" dxfId="10" priority="9" operator="lessThan">
      <formula>0.013</formula>
    </cfRule>
  </conditionalFormatting>
  <conditionalFormatting sqref="G14:G18 G15:H15 G18:H18 G21:G26 G26:H26 G29:G32 G32:H32 H33 G35:G45 G40:H40">
    <cfRule type="cellIs" dxfId="9" priority="22" operator="lessThan">
      <formula>0.0013</formula>
    </cfRule>
  </conditionalFormatting>
  <conditionalFormatting sqref="G20">
    <cfRule type="cellIs" dxfId="8" priority="6" operator="lessThan">
      <formula>0.013</formula>
    </cfRule>
  </conditionalFormatting>
  <conditionalFormatting sqref="G27:G28">
    <cfRule type="cellIs" dxfId="7" priority="7" operator="lessThan">
      <formula>0.013</formula>
    </cfRule>
  </conditionalFormatting>
  <conditionalFormatting sqref="G33:G34">
    <cfRule type="cellIs" dxfId="6" priority="5" operator="lessThan">
      <formula>0.013</formula>
    </cfRule>
  </conditionalFormatting>
  <conditionalFormatting sqref="H13:H18 F19:H19">
    <cfRule type="cellIs" dxfId="5" priority="21" operator="lessThan">
      <formula>0.013</formula>
    </cfRule>
  </conditionalFormatting>
  <conditionalFormatting sqref="H20:H43">
    <cfRule type="cellIs" dxfId="4" priority="2" operator="lessThan">
      <formula>0.013</formula>
    </cfRule>
  </conditionalFormatting>
  <conditionalFormatting sqref="H44">
    <cfRule type="cellIs" dxfId="3" priority="20" operator="lessThan">
      <formula>0.0013</formula>
    </cfRule>
  </conditionalFormatting>
  <conditionalFormatting sqref="H45">
    <cfRule type="cellIs" dxfId="2" priority="15" operator="lessThan">
      <formula>0.013</formula>
    </cfRule>
  </conditionalFormatting>
  <conditionalFormatting sqref="I13">
    <cfRule type="expression" dxfId="1" priority="16">
      <formula>""</formula>
    </cfRule>
  </conditionalFormatting>
  <conditionalFormatting sqref="F41">
    <cfRule type="cellIs" dxfId="0" priority="1" operator="lessThan">
      <formula>0.013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3BF7-5390-6248-94C2-92430F0F90B1}">
  <dimension ref="A1:F31"/>
  <sheetViews>
    <sheetView topLeftCell="B2" zoomScale="115" workbookViewId="0">
      <selection activeCell="E18" sqref="E18"/>
    </sheetView>
  </sheetViews>
  <sheetFormatPr baseColWidth="10" defaultRowHeight="14"/>
  <cols>
    <col min="2" max="2" width="24.83203125" bestFit="1" customWidth="1"/>
    <col min="3" max="3" width="55.5" customWidth="1"/>
    <col min="4" max="4" width="41.83203125" style="28" bestFit="1" customWidth="1"/>
    <col min="5" max="5" width="42.83203125" customWidth="1"/>
    <col min="6" max="6" width="54.6640625" bestFit="1" customWidth="1"/>
  </cols>
  <sheetData>
    <row r="1" spans="1:6">
      <c r="A1" s="22"/>
    </row>
    <row r="2" spans="1:6">
      <c r="A2" s="22"/>
    </row>
    <row r="3" spans="1:6" ht="24">
      <c r="A3" s="22"/>
      <c r="B3" s="47" t="s">
        <v>25</v>
      </c>
      <c r="C3" s="48"/>
      <c r="D3" s="48"/>
      <c r="E3" s="48"/>
      <c r="F3" s="48"/>
    </row>
    <row r="4" spans="1:6" ht="24">
      <c r="A4" s="22"/>
      <c r="B4" s="29" t="s">
        <v>20</v>
      </c>
      <c r="C4" s="27" t="s">
        <v>27</v>
      </c>
      <c r="D4" s="27" t="s">
        <v>21</v>
      </c>
      <c r="E4" s="27" t="s">
        <v>18</v>
      </c>
      <c r="F4" s="27" t="s">
        <v>19</v>
      </c>
    </row>
    <row r="5" spans="1:6" ht="24">
      <c r="A5" s="22"/>
      <c r="B5" s="30">
        <v>45902</v>
      </c>
      <c r="C5" s="26" t="s">
        <v>28</v>
      </c>
      <c r="D5" s="37" t="s">
        <v>23</v>
      </c>
      <c r="E5" s="38">
        <v>1551.55</v>
      </c>
      <c r="F5" s="38" t="s">
        <v>26</v>
      </c>
    </row>
    <row r="6" spans="1:6" ht="23">
      <c r="A6" s="22"/>
      <c r="B6" s="30">
        <v>45908</v>
      </c>
      <c r="C6" s="37" t="s">
        <v>29</v>
      </c>
      <c r="D6" s="37" t="s">
        <v>23</v>
      </c>
      <c r="E6" s="38">
        <v>670</v>
      </c>
      <c r="F6" s="38" t="s">
        <v>26</v>
      </c>
    </row>
    <row r="7" spans="1:6" ht="24">
      <c r="A7" s="22"/>
      <c r="B7" s="30">
        <v>45909</v>
      </c>
      <c r="C7" s="26" t="s">
        <v>30</v>
      </c>
      <c r="D7" s="37" t="s">
        <v>23</v>
      </c>
      <c r="E7" s="38">
        <v>850</v>
      </c>
      <c r="F7" s="38" t="s">
        <v>26</v>
      </c>
    </row>
    <row r="8" spans="1:6" ht="23">
      <c r="A8" s="22"/>
      <c r="B8" s="30">
        <v>45915</v>
      </c>
      <c r="C8" s="37" t="s">
        <v>31</v>
      </c>
      <c r="D8" s="37" t="s">
        <v>23</v>
      </c>
      <c r="E8" s="38">
        <v>616.21</v>
      </c>
      <c r="F8" s="38" t="s">
        <v>26</v>
      </c>
    </row>
    <row r="9" spans="1:6" ht="24">
      <c r="A9" s="22"/>
      <c r="B9" s="30">
        <v>45917</v>
      </c>
      <c r="C9" s="26" t="s">
        <v>32</v>
      </c>
      <c r="D9" s="37" t="s">
        <v>23</v>
      </c>
      <c r="E9" s="38">
        <v>807.04</v>
      </c>
      <c r="F9" s="38" t="s">
        <v>26</v>
      </c>
    </row>
    <row r="10" spans="1:6" ht="24">
      <c r="A10" s="22"/>
      <c r="B10" s="30">
        <v>45919</v>
      </c>
      <c r="C10" s="26" t="s">
        <v>33</v>
      </c>
      <c r="D10" s="37" t="s">
        <v>23</v>
      </c>
      <c r="E10" s="38">
        <v>138.63999999999999</v>
      </c>
      <c r="F10" s="38" t="s">
        <v>26</v>
      </c>
    </row>
    <row r="11" spans="1:6" ht="24">
      <c r="A11" s="22"/>
      <c r="B11" s="30">
        <v>45920</v>
      </c>
      <c r="C11" s="26" t="s">
        <v>34</v>
      </c>
      <c r="D11" s="37" t="s">
        <v>23</v>
      </c>
      <c r="E11" s="38">
        <v>544.41999999999996</v>
      </c>
      <c r="F11" s="38" t="s">
        <v>26</v>
      </c>
    </row>
    <row r="12" spans="1:6" ht="24">
      <c r="A12" s="22"/>
      <c r="B12" s="30">
        <v>45930</v>
      </c>
      <c r="C12" s="37" t="s">
        <v>35</v>
      </c>
      <c r="D12" s="26" t="s">
        <v>49</v>
      </c>
      <c r="E12" s="38">
        <v>121</v>
      </c>
      <c r="F12" s="38" t="s">
        <v>50</v>
      </c>
    </row>
    <row r="13" spans="1:6" ht="24">
      <c r="A13" s="22"/>
      <c r="B13" s="39"/>
      <c r="C13" s="39"/>
      <c r="D13" s="39" t="s">
        <v>17</v>
      </c>
      <c r="E13" s="25">
        <f>SUM(E4:E12)</f>
        <v>5298.8600000000006</v>
      </c>
      <c r="F13" s="40"/>
    </row>
    <row r="14" spans="1:6">
      <c r="A14" s="22"/>
    </row>
    <row r="15" spans="1:6">
      <c r="A15" s="22"/>
    </row>
    <row r="16" spans="1:6">
      <c r="A16" s="22"/>
    </row>
    <row r="17" spans="1:5">
      <c r="A17" s="22"/>
    </row>
    <row r="18" spans="1:5">
      <c r="A18" s="22"/>
    </row>
    <row r="19" spans="1:5">
      <c r="A19" s="22"/>
    </row>
    <row r="20" spans="1:5">
      <c r="A20" s="22"/>
    </row>
    <row r="21" spans="1:5">
      <c r="A21" s="22"/>
    </row>
    <row r="22" spans="1:5">
      <c r="A22" s="22"/>
    </row>
    <row r="23" spans="1:5">
      <c r="A23" s="22"/>
    </row>
    <row r="24" spans="1:5">
      <c r="A24" s="22"/>
    </row>
    <row r="25" spans="1:5">
      <c r="A25" s="22"/>
    </row>
    <row r="26" spans="1:5">
      <c r="A26" s="22"/>
    </row>
    <row r="27" spans="1:5">
      <c r="A27" s="22"/>
    </row>
    <row r="28" spans="1:5">
      <c r="A28" s="22"/>
    </row>
    <row r="29" spans="1:5">
      <c r="A29" s="24"/>
      <c r="B29" s="23"/>
      <c r="C29" s="23"/>
      <c r="D29" s="31"/>
      <c r="E29" s="23"/>
    </row>
    <row r="30" spans="1:5">
      <c r="A30" s="22"/>
    </row>
    <row r="31" spans="1:5">
      <c r="A31" s="22"/>
    </row>
  </sheetData>
  <autoFilter ref="B4:E13" xr:uid="{F2BE3BF7-5390-6248-94C2-92430F0F90B1}">
    <sortState xmlns:xlrd2="http://schemas.microsoft.com/office/spreadsheetml/2017/richdata2" ref="B5:E13">
      <sortCondition ref="D4:D13"/>
    </sortState>
  </autoFilter>
  <mergeCells count="1">
    <mergeCell ref="B3:F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 - September 25</vt:lpstr>
      <vt:lpstr>Expenses for September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Sanmanya Sharma</dc:creator>
  <cp:lastModifiedBy>Sanmanya Sharma</cp:lastModifiedBy>
  <dcterms:created xsi:type="dcterms:W3CDTF">2025-07-14T05:04:04Z</dcterms:created>
  <dcterms:modified xsi:type="dcterms:W3CDTF">2025-10-03T10:15:58Z</dcterms:modified>
</cp:coreProperties>
</file>