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Work/Desktop/Canpisce/"/>
    </mc:Choice>
  </mc:AlternateContent>
  <xr:revisionPtr revIDLastSave="0" documentId="13_ncr:1_{34BF6F12-277E-F040-A181-A7FB5442DE57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Timesheet - June 25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2" l="1"/>
  <c r="F22" i="22"/>
  <c r="C24" i="22"/>
  <c r="C32" i="22"/>
  <c r="F32" i="22" s="1"/>
  <c r="E14" i="22"/>
  <c r="F15" i="22"/>
  <c r="F16" i="22"/>
  <c r="F19" i="22"/>
  <c r="F20" i="22"/>
  <c r="E21" i="22"/>
  <c r="F21" i="22" s="1"/>
  <c r="E28" i="22"/>
  <c r="F33" i="22"/>
  <c r="E35" i="22"/>
  <c r="F35" i="22" s="1"/>
  <c r="F36" i="22"/>
  <c r="F37" i="22"/>
  <c r="E42" i="22"/>
  <c r="F17" i="22"/>
  <c r="F18" i="22"/>
  <c r="F25" i="22"/>
  <c r="F26" i="22"/>
  <c r="F27" i="22"/>
  <c r="F28" i="22"/>
  <c r="F29" i="22"/>
  <c r="F41" i="22"/>
  <c r="F42" i="22"/>
  <c r="F43" i="22"/>
  <c r="F34" i="22"/>
  <c r="F24" i="22"/>
  <c r="F30" i="22"/>
  <c r="F31" i="22"/>
  <c r="F38" i="22"/>
  <c r="F39" i="22"/>
  <c r="F40" i="22"/>
  <c r="F14" i="22"/>
  <c r="C14" i="22"/>
  <c r="C15" i="22"/>
  <c r="C16" i="22"/>
  <c r="C17" i="22"/>
  <c r="C18" i="22"/>
  <c r="C19" i="22"/>
  <c r="C20" i="22"/>
  <c r="C21" i="22"/>
  <c r="C22" i="22"/>
  <c r="C23" i="22"/>
  <c r="C25" i="22"/>
  <c r="C26" i="22"/>
  <c r="C27" i="22"/>
  <c r="C28" i="22"/>
  <c r="C29" i="22"/>
  <c r="C30" i="22"/>
  <c r="C31" i="22"/>
  <c r="C33" i="22"/>
  <c r="C34" i="22"/>
  <c r="C35" i="22"/>
  <c r="C36" i="22"/>
  <c r="C37" i="22"/>
  <c r="C38" i="22"/>
  <c r="C39" i="22"/>
  <c r="C40" i="22"/>
  <c r="C41" i="22"/>
  <c r="C42" i="22"/>
  <c r="C43" i="22"/>
  <c r="F44" i="22" l="1"/>
</calcChain>
</file>

<file path=xl/sharedStrings.xml><?xml version="1.0" encoding="utf-8"?>
<sst xmlns="http://schemas.openxmlformats.org/spreadsheetml/2006/main" count="74" uniqueCount="42">
  <si>
    <t>Canpisce Consulting Pvt. Ltd.</t>
  </si>
  <si>
    <t>D-105, Ground Floor, Defence Colony,</t>
  </si>
  <si>
    <t>New Delhi-110024</t>
  </si>
  <si>
    <t>Project Name</t>
  </si>
  <si>
    <t>Date</t>
  </si>
  <si>
    <t>Day</t>
  </si>
  <si>
    <t>Name of client</t>
  </si>
  <si>
    <t>Work Done</t>
  </si>
  <si>
    <t>Time Invested</t>
  </si>
  <si>
    <t>Time In</t>
  </si>
  <si>
    <t>Time Out</t>
  </si>
  <si>
    <t>Employee Name</t>
  </si>
  <si>
    <t>Hrs</t>
  </si>
  <si>
    <t>Total hours invested</t>
  </si>
  <si>
    <t>`</t>
  </si>
  <si>
    <t>NuTaste</t>
  </si>
  <si>
    <t>Sanmanya Sharma</t>
  </si>
  <si>
    <t>WEEK OFF</t>
  </si>
  <si>
    <t xml:space="preserve">NuTaste </t>
  </si>
  <si>
    <t>LEAVE (Injured Foot)</t>
  </si>
  <si>
    <t>Working on building Business Case for NuTaste: Liquid Line
Data analysis for yearly volume and value of products produced in H9LL, Time Study Analysis. 
DMS Meeting, Working on Logic behind OTIF logic</t>
  </si>
  <si>
    <t>Working on building Business Case for NuTaste: Liquid Line
preparing PPT to be presented to Manu; updating the analysis onto the PPTWorking on Logic behind OTIF logic</t>
  </si>
  <si>
    <t>Detailed Time Sheet from 1 June to 30 June 2025</t>
  </si>
  <si>
    <t>Daily Management, 2S Audit with Ashish; introducing Dinesh and Ashish. Familiarising with the Factory and warehouses.</t>
  </si>
  <si>
    <t>Working on finalising Business Case for NuTaste Liquid Line and presentation with Manu.
Daily Management. New Vendor/Alternate Vendor Selection Process Finalisation. SKU Rationalisation Meeting</t>
  </si>
  <si>
    <t>Daily Management, 2S Audit with Ashish. Introduction with other POCs, explaining the audit process. Visiting different Stores of the warehouse. Preparing SOPs for Warehouse Management</t>
  </si>
  <si>
    <t>Plotting VSM Data Insights for the study conducted on 31st May. Pareto of NVAs. Shift Count Data Finalisation, Monthly and Yearly Volume Analysis for the liquid line.</t>
  </si>
  <si>
    <t xml:space="preserve">Working on Shift Count Data Validation. VSM Data Insights for the study on 31/05/25. Daily Management. Buffer Penetration Meeting. </t>
  </si>
  <si>
    <t>Deck Review Meeting with Yasir @JSPL Angul; Data insights and clarification. 
Daily Management, Buffer Penetration.
Reviewing Project Status at NuTaste - Canpisce Internal Meeting</t>
  </si>
  <si>
    <t>Finalisation of PPT for JSPL; Principal Consultant Deck, Business Impact Summary
DMS, Buffer Penetration</t>
  </si>
  <si>
    <t>Working on Preliminary Assessment Report for Liquid Line. Collecting Data from Time Stufdy, VSM, Man-Machine Study.
DMS
Volume Analysis for Liquid Line with Vijay sir.</t>
  </si>
  <si>
    <t>DMS
Shopfloor Audit to capture workforce grievnaces; preparing a report of potential bottlenecks and problems faced in the factory (liquid, and bakery).</t>
  </si>
  <si>
    <t>NuTaste/JSPL</t>
  </si>
  <si>
    <t>DMS 
2S Audit with Ranjit and Vijay; identifying problems on in the Warehouse and Shopfloor - Overstocking and Disorganisation.
Working on VSM 2 for Liquid Line</t>
  </si>
  <si>
    <t>DMS. 2S Audit. Shopfloor visit for VSM. Meeting with Tajinder, D&amp;T Dept. and Canpisce for queries with Planning Engine; disussing concerns regarding MPS-Manesar, MTO Time Buffer, Order Invoicing, addressing problems with Sim. Prod. Order, ATP Functionality.</t>
  </si>
  <si>
    <t>DMS, 2S Audit. Shopfloor visit. Meeting with Leadership and Canpisce for an update on Decision Tree and High Yield Loss; discussing RACI, process flow for items with low shelf life. Discussing the parameters for HYL and the plausible solutions to mitigate &gt;5% losses. 
Working on Spend Analysis and Logistics Cost Data.</t>
  </si>
  <si>
    <t xml:space="preserve">VSM on Liquid Line: Belgian Dark Chocolate Sauce.
</t>
  </si>
  <si>
    <t>DMS. Buffer Penetration.
Compiling data for VSM: Observations, Pareto Analysis, First Pass Yield for QA and QC.</t>
  </si>
  <si>
    <t>2S Audit. DMS. Update on Decision Tree &amp; High Yield Loss. Meeting with Maintenance Team for Implementing MRO functionality on ERP. Getting data for Spend Ananlysis.</t>
  </si>
  <si>
    <t>DMS. Publishing VSM on Liquid Line for Belgian Dark Chocolate Sauce. 2nd VSM for Kimchi Sauce with JV; visiting shopfloor for updates, recording observations on a spreadsheet, identifying and recording discrepancies. Sending intimation for data required for Spend Analysis and Issues with Sourcing.</t>
  </si>
  <si>
    <t>DMS. Working on VSM - Kimchi Sauce; updating observations.
Working on Spend Analysis; Workforce Expense
Update on Decision Tree and High Yield Loss</t>
  </si>
  <si>
    <t>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</si>
</sst>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5" formatCode="hh:mm:ss;@"/>
    <numFmt numFmtId="166" formatCode="0.000000"/>
  </numFmts>
  <fonts count="10">
    <font>
      <sz val="11"/>
      <color theme="1"/>
      <name val="Adani Regular"/>
      <family val="2"/>
    </font>
    <font>
      <sz val="12"/>
      <color rgb="FF006100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Adani Regular"/>
      <family val="2"/>
    </font>
    <font>
      <sz val="14"/>
      <color rgb="FFFF0000"/>
      <name val="Calibri"/>
      <family val="2"/>
    </font>
    <font>
      <sz val="14"/>
      <color rgb="FFFFFFFF"/>
      <name val="Adani Regular"/>
      <family val="2"/>
    </font>
    <font>
      <b/>
      <sz val="12"/>
      <color theme="9" tint="-0.499984740745262"/>
      <name val="Calibri"/>
      <family val="2"/>
    </font>
    <font>
      <b/>
      <sz val="12"/>
      <color theme="9" tint="-0.499984740745262"/>
      <name val="Calibri"/>
      <family val="2"/>
      <scheme val="minor"/>
    </font>
    <font>
      <b/>
      <sz val="12"/>
      <color theme="9" tint="-0.499984740745262"/>
      <name val="Adani Regular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6C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165" fontId="3" fillId="0" borderId="0" xfId="0" applyNumberFormat="1" applyFont="1" applyAlignment="1">
      <alignment horizont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wrapText="1"/>
    </xf>
    <xf numFmtId="165" fontId="4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6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0" fontId="0" fillId="3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Fill="1" applyAlignment="1">
      <alignment horizontal="center" vertical="center"/>
    </xf>
    <xf numFmtId="20" fontId="1" fillId="0" borderId="0" xfId="1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22">
    <dxf>
      <font>
        <b/>
        <strike val="0"/>
        <outline val="0"/>
        <shadow val="0"/>
        <u val="none"/>
        <vertAlign val="baseline"/>
        <sz val="12"/>
        <color theme="9" tint="-0.49998474074526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5" formatCode="hh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1" defaultTableStyle="TableStyleMedium2" defaultPivotStyle="PivotStyleLight16">
    <tableStyle name="Invisible" pivot="0" table="0" count="0" xr9:uid="{8F387DE7-2122-4D15-BF9C-2996206CF6BB}"/>
  </tableStyles>
  <colors>
    <mruColors>
      <color rgb="FFFFFFFF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7F9450-219B-C548-8A81-F4DFE6144D15}" name="Table13" displayName="Table13" ref="B13:H43" totalsRowShown="0" headerRowDxfId="4" dataDxfId="3" headerRowBorderDxfId="21" tableBorderDxfId="20" totalsRowBorderDxfId="19" dataCellStyle="Normal">
  <autoFilter ref="B13:H43" xr:uid="{4FC8EB3C-7713-EE49-A8D6-26D0DBF00197}"/>
  <tableColumns count="7">
    <tableColumn id="1" xr3:uid="{C6D7D863-9C5C-C34C-B013-EA2130378483}" name="Date" dataDxfId="8" dataCellStyle="Normal"/>
    <tableColumn id="2" xr3:uid="{2B445A16-C309-F74B-A116-C30E0419F3E4}" name="Day" dataDxfId="2" dataCellStyle="Normal">
      <calculatedColumnFormula>TEXT(B14,"DDDD")</calculatedColumnFormula>
    </tableColumn>
    <tableColumn id="3" xr3:uid="{1313E5DD-42B5-6A4B-9575-DCECC13B9BD4}" name="Name of client" dataDxfId="0" dataCellStyle="Normal"/>
    <tableColumn id="4" xr3:uid="{90B9447B-6C3F-764D-B9C9-C99B73F6B2B4}" name="Work Done" dataDxfId="1" dataCellStyle="Normal">
      <calculatedColumnFormula>IF(Table13[[#This Row],[Day]]="Sunday", "WEEK OFF"," " )</calculatedColumnFormula>
    </tableColumn>
    <tableColumn id="5" xr3:uid="{A395D877-3C8A-E746-ABA0-67779F14BA6D}" name="Time Invested" dataDxfId="7" dataCellStyle="Normal">
      <calculatedColumnFormula>IF(Table13[[#This Row],[Work Done]]="WEEK OFF", "00:00", Table13[[#This Row],[Time Out]]-Table13[[#This Row],[Time In]])</calculatedColumnFormula>
    </tableColumn>
    <tableColumn id="6" xr3:uid="{6F472C81-7AD2-724C-971A-039259A6ECF2}" name="Time In" dataDxfId="6" dataCellStyle="Normal"/>
    <tableColumn id="7" xr3:uid="{8B4DABA9-5A8D-E44A-B61B-CB3F337DD4C3}" name="Time Out" dataDxfId="5" dataCellStyle="Norma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222D-DB1D-CA4C-8315-12FCCF09D23E}">
  <dimension ref="B5:K45"/>
  <sheetViews>
    <sheetView tabSelected="1" topLeftCell="A12" zoomScale="113" workbookViewId="0">
      <selection activeCell="F16" sqref="F16"/>
    </sheetView>
  </sheetViews>
  <sheetFormatPr baseColWidth="10" defaultRowHeight="18"/>
  <cols>
    <col min="1" max="1" width="10.83203125" style="3"/>
    <col min="2" max="2" width="15.33203125" style="3" customWidth="1"/>
    <col min="3" max="3" width="15.1640625" style="3" bestFit="1" customWidth="1"/>
    <col min="4" max="4" width="26.83203125" style="3" customWidth="1"/>
    <col min="5" max="5" width="48.1640625" style="3" customWidth="1"/>
    <col min="6" max="6" width="13.5" style="10" customWidth="1"/>
    <col min="7" max="7" width="10.83203125" style="15"/>
    <col min="8" max="8" width="13.83203125" style="10" bestFit="1" customWidth="1"/>
    <col min="9" max="16384" width="10.83203125" style="3"/>
  </cols>
  <sheetData>
    <row r="5" spans="2:8" ht="19">
      <c r="B5" s="18" t="s">
        <v>0</v>
      </c>
      <c r="C5" s="18"/>
      <c r="D5" s="1"/>
      <c r="E5" s="2"/>
      <c r="F5" s="1"/>
      <c r="G5" s="12"/>
      <c r="H5" s="1"/>
    </row>
    <row r="6" spans="2:8" ht="19">
      <c r="B6" s="18" t="s">
        <v>1</v>
      </c>
      <c r="C6" s="18"/>
      <c r="D6" s="18"/>
      <c r="E6" s="19"/>
      <c r="F6" s="20"/>
      <c r="G6" s="21"/>
      <c r="H6" s="20"/>
    </row>
    <row r="7" spans="2:8" ht="19">
      <c r="B7" s="18" t="s">
        <v>2</v>
      </c>
      <c r="C7" s="18"/>
      <c r="D7" s="18"/>
      <c r="E7" s="19"/>
      <c r="F7" s="20"/>
      <c r="G7" s="21"/>
      <c r="H7" s="20"/>
    </row>
    <row r="8" spans="2:8" ht="19">
      <c r="B8" s="2"/>
      <c r="C8" s="1"/>
      <c r="D8" s="1"/>
      <c r="E8" s="2"/>
      <c r="F8" s="1"/>
      <c r="G8" s="12"/>
      <c r="H8" s="1"/>
    </row>
    <row r="9" spans="2:8" ht="20" customHeight="1">
      <c r="B9" s="18" t="s">
        <v>22</v>
      </c>
      <c r="C9" s="18"/>
      <c r="D9" s="18"/>
      <c r="E9" s="2" t="s">
        <v>14</v>
      </c>
      <c r="F9" s="1"/>
      <c r="G9" s="12"/>
      <c r="H9" s="1"/>
    </row>
    <row r="10" spans="2:8" ht="20">
      <c r="B10" s="4" t="s">
        <v>3</v>
      </c>
      <c r="C10" s="5" t="s">
        <v>18</v>
      </c>
      <c r="D10" s="1"/>
      <c r="E10" s="2"/>
      <c r="F10" s="1"/>
      <c r="G10" s="12"/>
      <c r="H10" s="1"/>
    </row>
    <row r="11" spans="2:8" ht="40">
      <c r="B11" s="4" t="s">
        <v>11</v>
      </c>
      <c r="C11" s="22" t="s">
        <v>16</v>
      </c>
      <c r="D11" s="22"/>
      <c r="E11" s="19"/>
      <c r="F11" s="19"/>
      <c r="G11" s="12"/>
      <c r="H11" s="1"/>
    </row>
    <row r="12" spans="2:8" ht="19">
      <c r="B12" s="4"/>
      <c r="C12" s="1"/>
      <c r="D12" s="1"/>
      <c r="E12" s="2"/>
      <c r="F12" s="1"/>
      <c r="G12" s="12"/>
      <c r="H12" s="1"/>
    </row>
    <row r="13" spans="2:8" ht="40">
      <c r="B13" s="6" t="s">
        <v>4</v>
      </c>
      <c r="C13" s="7" t="s">
        <v>5</v>
      </c>
      <c r="D13" s="36" t="s">
        <v>6</v>
      </c>
      <c r="E13" s="7" t="s">
        <v>7</v>
      </c>
      <c r="F13" s="7" t="s">
        <v>8</v>
      </c>
      <c r="G13" s="13" t="s">
        <v>9</v>
      </c>
      <c r="H13" s="8" t="s">
        <v>10</v>
      </c>
    </row>
    <row r="14" spans="2:8">
      <c r="B14" s="23">
        <v>45809</v>
      </c>
      <c r="C14" s="24" t="str">
        <f t="shared" ref="C14:C43" si="0">TEXT(B14,"DDDD")</f>
        <v>Sunday</v>
      </c>
      <c r="D14" s="37" t="s">
        <v>15</v>
      </c>
      <c r="E14" s="26" t="str">
        <f>IF(Table13[[#This Row],[Day]]="Sunday", "WEEK OFF"," " )</f>
        <v>WEEK OFF</v>
      </c>
      <c r="F14" s="27" t="str">
        <f>IF(Table13[[#This Row],[Work Done]]="WEEK OFF", "00:00", Table13[[#This Row],[Time Out]]-Table13[[#This Row],[Time In]])</f>
        <v>00:00</v>
      </c>
      <c r="G14" s="28">
        <v>0</v>
      </c>
      <c r="H14" s="29">
        <v>0</v>
      </c>
    </row>
    <row r="15" spans="2:8" ht="45">
      <c r="B15" s="30">
        <v>45810</v>
      </c>
      <c r="C15" s="31" t="str">
        <f t="shared" si="0"/>
        <v>Monday</v>
      </c>
      <c r="D15" s="38" t="s">
        <v>32</v>
      </c>
      <c r="E15" s="17" t="s">
        <v>29</v>
      </c>
      <c r="F15" s="29">
        <f>IF(Table13[[#This Row],[Work Done]]="WEEK OFF", "00:00", Table13[[#This Row],[Time Out]]-Table13[[#This Row],[Time In]])</f>
        <v>0.39583333333333331</v>
      </c>
      <c r="G15" s="28">
        <v>0.39583333333333331</v>
      </c>
      <c r="H15" s="29">
        <v>0.79166666666666663</v>
      </c>
    </row>
    <row r="16" spans="2:8" ht="75">
      <c r="B16" s="30">
        <v>45811</v>
      </c>
      <c r="C16" s="25" t="str">
        <f t="shared" si="0"/>
        <v>Tuesday</v>
      </c>
      <c r="D16" s="37" t="s">
        <v>15</v>
      </c>
      <c r="E16" s="17" t="s">
        <v>30</v>
      </c>
      <c r="F16" s="29">
        <f>IF(Table13[[#This Row],[Work Done]]="WEEK OFF", "00:00", Table13[[#This Row],[Time Out]]-Table13[[#This Row],[Time In]])</f>
        <v>0.30208333333333331</v>
      </c>
      <c r="G16" s="28">
        <v>0.39583333333333331</v>
      </c>
      <c r="H16" s="29">
        <v>0.69791666666666663</v>
      </c>
    </row>
    <row r="17" spans="2:11" ht="45">
      <c r="B17" s="30">
        <v>45812</v>
      </c>
      <c r="C17" s="25" t="str">
        <f t="shared" si="0"/>
        <v>Wednesday</v>
      </c>
      <c r="D17" s="37" t="s">
        <v>15</v>
      </c>
      <c r="E17" s="17" t="s">
        <v>27</v>
      </c>
      <c r="F17" s="29">
        <f>IF(Table13[[#This Row],[Work Done]]="WEEK OFF", "00:00", Table13[[#This Row],[Time Out]]-Table13[[#This Row],[Time In]])</f>
        <v>0.39583333333333331</v>
      </c>
      <c r="G17" s="28">
        <v>0.39583333333333331</v>
      </c>
      <c r="H17" s="29">
        <v>0.79166666666666663</v>
      </c>
    </row>
    <row r="18" spans="2:11" ht="75">
      <c r="B18" s="30">
        <v>45813</v>
      </c>
      <c r="C18" s="32" t="str">
        <f t="shared" si="0"/>
        <v>Thursday</v>
      </c>
      <c r="D18" s="38" t="s">
        <v>32</v>
      </c>
      <c r="E18" s="17" t="s">
        <v>28</v>
      </c>
      <c r="F18" s="29">
        <f>IF(Table13[[#This Row],[Work Done]]="WEEK OFF", "00:00", Table13[[#This Row],[Time Out]]-Table13[[#This Row],[Time In]])</f>
        <v>0.41666666666666669</v>
      </c>
      <c r="G18" s="28">
        <v>0.39583333333333331</v>
      </c>
      <c r="H18" s="33">
        <v>0.8125</v>
      </c>
    </row>
    <row r="19" spans="2:11" ht="45">
      <c r="B19" s="30">
        <v>45814</v>
      </c>
      <c r="C19" s="32" t="str">
        <f t="shared" si="0"/>
        <v>Friday</v>
      </c>
      <c r="D19" s="39" t="s">
        <v>15</v>
      </c>
      <c r="E19" s="17" t="s">
        <v>26</v>
      </c>
      <c r="F19" s="29">
        <f>IF(Table13[[#This Row],[Work Done]]="WEEK OFF", "00:00", Table13[[#This Row],[Time Out]]-Table13[[#This Row],[Time In]])</f>
        <v>0.37500000000000006</v>
      </c>
      <c r="G19" s="28">
        <v>0.39583333333333331</v>
      </c>
      <c r="H19" s="33">
        <v>0.77083333333333337</v>
      </c>
      <c r="K19" s="3" t="s">
        <v>14</v>
      </c>
    </row>
    <row r="20" spans="2:11">
      <c r="B20" s="23">
        <v>45815</v>
      </c>
      <c r="C20" s="24" t="str">
        <f t="shared" si="0"/>
        <v>Saturday</v>
      </c>
      <c r="D20" s="38" t="s">
        <v>15</v>
      </c>
      <c r="E20" s="26" t="s">
        <v>17</v>
      </c>
      <c r="F20" s="27" t="str">
        <f>IF(Table13[[#This Row],[Work Done]]="WEEK OFF", "00:00", Table13[[#This Row],[Time Out]]-Table13[[#This Row],[Time In]])</f>
        <v>00:00</v>
      </c>
      <c r="G20" s="28">
        <v>0</v>
      </c>
      <c r="H20" s="29">
        <v>0</v>
      </c>
    </row>
    <row r="21" spans="2:11">
      <c r="B21" s="23">
        <v>45816</v>
      </c>
      <c r="C21" s="24" t="str">
        <f t="shared" si="0"/>
        <v>Sunday</v>
      </c>
      <c r="D21" s="38" t="s">
        <v>15</v>
      </c>
      <c r="E21" s="26" t="str">
        <f>IF(Table13[[#This Row],[Day]]="Sunday", "WEEK OFF"," " )</f>
        <v>WEEK OFF</v>
      </c>
      <c r="F21" s="27" t="str">
        <f>IF(Table13[[#This Row],[Work Done]]="WEEK OFF", "00:00", Table13[[#This Row],[Time Out]]-Table13[[#This Row],[Time In]])</f>
        <v>00:00</v>
      </c>
      <c r="G21" s="28">
        <v>0</v>
      </c>
      <c r="H21" s="29">
        <v>0</v>
      </c>
    </row>
    <row r="22" spans="2:11">
      <c r="B22" s="30">
        <v>45817</v>
      </c>
      <c r="C22" s="31" t="str">
        <f t="shared" si="0"/>
        <v>Monday</v>
      </c>
      <c r="D22" s="38" t="s">
        <v>15</v>
      </c>
      <c r="E22" s="17" t="s">
        <v>19</v>
      </c>
      <c r="F22" s="29">
        <f>IF(Table13[[#This Row],[Work Done]]="WEEK OFF", "00:00", Table13[[#This Row],[Time Out]]-Table13[[#This Row],[Time In]])</f>
        <v>0</v>
      </c>
      <c r="G22" s="28">
        <v>0</v>
      </c>
      <c r="H22" s="29">
        <v>0</v>
      </c>
    </row>
    <row r="23" spans="2:11">
      <c r="B23" s="30">
        <v>45818</v>
      </c>
      <c r="C23" s="31" t="str">
        <f t="shared" si="0"/>
        <v>Tuesday</v>
      </c>
      <c r="D23" s="38" t="s">
        <v>15</v>
      </c>
      <c r="E23" s="17" t="s">
        <v>19</v>
      </c>
      <c r="F23" s="29">
        <f>IF(Table13[[#This Row],[Work Done]]="WEEK OFF", "00:00", Table13[[#This Row],[Time Out]]-Table13[[#This Row],[Time In]])</f>
        <v>0</v>
      </c>
      <c r="G23" s="28">
        <v>0</v>
      </c>
      <c r="H23" s="29">
        <v>0</v>
      </c>
    </row>
    <row r="24" spans="2:11" ht="75">
      <c r="B24" s="30">
        <v>45819</v>
      </c>
      <c r="C24" s="31" t="str">
        <f t="shared" si="0"/>
        <v>Wednesday</v>
      </c>
      <c r="D24" s="38" t="s">
        <v>15</v>
      </c>
      <c r="E24" s="17" t="s">
        <v>20</v>
      </c>
      <c r="F24" s="29">
        <f>IF(Table13[[#This Row],[Work Done]]="WEEK OFF", "00:00", Table13[[#This Row],[Time Out]]-Table13[[#This Row],[Time In]])</f>
        <v>0.40972222222222227</v>
      </c>
      <c r="G24" s="28">
        <v>0.39583333333333331</v>
      </c>
      <c r="H24" s="34">
        <v>0.80555555555555558</v>
      </c>
    </row>
    <row r="25" spans="2:11" ht="60">
      <c r="B25" s="30">
        <v>45820</v>
      </c>
      <c r="C25" s="31" t="str">
        <f t="shared" si="0"/>
        <v>Thursday</v>
      </c>
      <c r="D25" s="38" t="s">
        <v>15</v>
      </c>
      <c r="E25" s="17" t="s">
        <v>21</v>
      </c>
      <c r="F25" s="29">
        <f>IF(Table13[[#This Row],[Work Done]]="WEEK OFF", "00:00", Table13[[#This Row],[Time Out]]-Table13[[#This Row],[Time In]])</f>
        <v>0.38541666666666669</v>
      </c>
      <c r="G25" s="28">
        <v>0.39583333333333331</v>
      </c>
      <c r="H25" s="29">
        <v>0.78125</v>
      </c>
    </row>
    <row r="26" spans="2:11" ht="60">
      <c r="B26" s="30">
        <v>45821</v>
      </c>
      <c r="C26" s="32" t="str">
        <f t="shared" si="0"/>
        <v>Friday</v>
      </c>
      <c r="D26" s="39" t="s">
        <v>15</v>
      </c>
      <c r="E26" s="17" t="s">
        <v>24</v>
      </c>
      <c r="F26" s="29">
        <f>IF(Table13[[#This Row],[Work Done]]="WEEK OFF", "00:00", Table13[[#This Row],[Time Out]]-Table13[[#This Row],[Time In]])</f>
        <v>0.37500000000000006</v>
      </c>
      <c r="G26" s="28">
        <v>0.39583333333333331</v>
      </c>
      <c r="H26" s="33">
        <v>0.77083333333333337</v>
      </c>
    </row>
    <row r="27" spans="2:11" ht="60">
      <c r="B27" s="30">
        <v>45822</v>
      </c>
      <c r="C27" s="31" t="str">
        <f t="shared" si="0"/>
        <v>Saturday</v>
      </c>
      <c r="D27" s="38" t="s">
        <v>15</v>
      </c>
      <c r="E27" s="17" t="s">
        <v>31</v>
      </c>
      <c r="F27" s="29">
        <f>IF(Table13[[#This Row],[Work Done]]="WEEK OFF", "00:00", Table13[[#This Row],[Time Out]]-Table13[[#This Row],[Time In]])</f>
        <v>0.38541666666666669</v>
      </c>
      <c r="G27" s="28">
        <v>0.39583333333333331</v>
      </c>
      <c r="H27" s="29">
        <v>0.78125</v>
      </c>
    </row>
    <row r="28" spans="2:11">
      <c r="B28" s="23">
        <v>45823</v>
      </c>
      <c r="C28" s="24" t="str">
        <f t="shared" si="0"/>
        <v>Sunday</v>
      </c>
      <c r="D28" s="38" t="s">
        <v>15</v>
      </c>
      <c r="E28" s="26" t="str">
        <f>IF(Table13[[#This Row],[Day]]="Sunday", "WEEK OFF"," " )</f>
        <v>WEEK OFF</v>
      </c>
      <c r="F28" s="27" t="str">
        <f>IF(Table13[[#This Row],[Work Done]]="WEEK OFF", "00:00", Table13[[#This Row],[Time Out]]-Table13[[#This Row],[Time In]])</f>
        <v>00:00</v>
      </c>
      <c r="G28" s="28">
        <v>0</v>
      </c>
      <c r="H28" s="29">
        <v>0</v>
      </c>
    </row>
    <row r="29" spans="2:11" ht="45">
      <c r="B29" s="30">
        <v>45824</v>
      </c>
      <c r="C29" s="31" t="str">
        <f t="shared" si="0"/>
        <v>Monday</v>
      </c>
      <c r="D29" s="38" t="s">
        <v>15</v>
      </c>
      <c r="E29" s="17" t="s">
        <v>23</v>
      </c>
      <c r="F29" s="29">
        <f>IF(Table13[[#This Row],[Work Done]]="WEEK OFF", "00:00", Table13[[#This Row],[Time Out]]-Table13[[#This Row],[Time In]])</f>
        <v>0.38541666666666669</v>
      </c>
      <c r="G29" s="28">
        <v>0.39583333333333331</v>
      </c>
      <c r="H29" s="29">
        <v>0.78125</v>
      </c>
    </row>
    <row r="30" spans="2:11" ht="60">
      <c r="B30" s="30">
        <v>45825</v>
      </c>
      <c r="C30" s="17" t="str">
        <f t="shared" si="0"/>
        <v>Tuesday</v>
      </c>
      <c r="D30" s="40" t="s">
        <v>15</v>
      </c>
      <c r="E30" s="17" t="s">
        <v>25</v>
      </c>
      <c r="F30" s="29">
        <f>IF(Table13[[#This Row],[Work Done]]="WEEK OFF", "00:00", Table13[[#This Row],[Time Out]]-Table13[[#This Row],[Time In]])</f>
        <v>0.38541666666666669</v>
      </c>
      <c r="G30" s="28">
        <v>0.39583333333333331</v>
      </c>
      <c r="H30" s="29">
        <v>0.78125</v>
      </c>
    </row>
    <row r="31" spans="2:11" ht="60">
      <c r="B31" s="30">
        <v>45826</v>
      </c>
      <c r="C31" s="17" t="str">
        <f t="shared" si="0"/>
        <v>Wednesday</v>
      </c>
      <c r="D31" s="40" t="s">
        <v>15</v>
      </c>
      <c r="E31" s="17" t="s">
        <v>25</v>
      </c>
      <c r="F31" s="29">
        <f>IF(Table13[[#This Row],[Work Done]]="WEEK OFF", "00:00", Table13[[#This Row],[Time Out]]-Table13[[#This Row],[Time In]])</f>
        <v>0.375</v>
      </c>
      <c r="G31" s="28">
        <v>0.40277777777777779</v>
      </c>
      <c r="H31" s="29">
        <v>0.77777777777777779</v>
      </c>
    </row>
    <row r="32" spans="2:11" ht="34" customHeight="1">
      <c r="B32" s="30">
        <v>45827</v>
      </c>
      <c r="C32" s="32" t="str">
        <f t="shared" si="0"/>
        <v>Thursday</v>
      </c>
      <c r="D32" s="39" t="s">
        <v>15</v>
      </c>
      <c r="E32" s="17" t="s">
        <v>36</v>
      </c>
      <c r="F32" s="29">
        <f>IF(Table13[[#This Row],[Work Done]]="WEEK OFF", "00:00", Table13[[#This Row],[Time Out]]-Table13[[#This Row],[Time In]])</f>
        <v>0.41666666666666663</v>
      </c>
      <c r="G32" s="28">
        <v>0.375</v>
      </c>
      <c r="H32" s="33">
        <v>0.79166666666666663</v>
      </c>
    </row>
    <row r="33" spans="2:8" ht="30" customHeight="1">
      <c r="B33" s="30">
        <v>45828</v>
      </c>
      <c r="C33" s="32" t="str">
        <f t="shared" si="0"/>
        <v>Friday</v>
      </c>
      <c r="D33" s="39" t="s">
        <v>15</v>
      </c>
      <c r="E33" s="17" t="s">
        <v>37</v>
      </c>
      <c r="F33" s="29">
        <f>IF(Table13[[#This Row],[Work Done]]="WEEK OFF", "00:00", Table13[[#This Row],[Time Out]]-Table13[[#This Row],[Time In]])</f>
        <v>0.37847222222222221</v>
      </c>
      <c r="G33" s="28">
        <v>0.40625</v>
      </c>
      <c r="H33" s="33">
        <v>0.78472222222222221</v>
      </c>
    </row>
    <row r="34" spans="2:8">
      <c r="B34" s="23">
        <v>45829</v>
      </c>
      <c r="C34" s="24" t="str">
        <f t="shared" si="0"/>
        <v>Saturday</v>
      </c>
      <c r="D34" s="38" t="s">
        <v>15</v>
      </c>
      <c r="E34" s="26" t="s">
        <v>17</v>
      </c>
      <c r="F34" s="27" t="str">
        <f>IF(Table13[[#This Row],[Work Done]]="WEEK OFF", "00:00", Table13[[#This Row],[Time Out]]-Table13[[#This Row],[Time In]])</f>
        <v>00:00</v>
      </c>
      <c r="G34" s="28">
        <v>0</v>
      </c>
      <c r="H34" s="29">
        <v>0</v>
      </c>
    </row>
    <row r="35" spans="2:8">
      <c r="B35" s="23">
        <v>45830</v>
      </c>
      <c r="C35" s="24" t="str">
        <f t="shared" si="0"/>
        <v>Sunday</v>
      </c>
      <c r="D35" s="38" t="s">
        <v>15</v>
      </c>
      <c r="E35" s="26" t="str">
        <f>IF(Table13[[#This Row],[Day]]="Sunday", "WEEK OFF"," " )</f>
        <v>WEEK OFF</v>
      </c>
      <c r="F35" s="27" t="str">
        <f>IF(Table13[[#This Row],[Work Done]]="WEEK OFF", "00:00", Table13[[#This Row],[Time Out]]-Table13[[#This Row],[Time In]])</f>
        <v>00:00</v>
      </c>
      <c r="G35" s="28">
        <v>0</v>
      </c>
      <c r="H35" s="29">
        <v>0</v>
      </c>
    </row>
    <row r="36" spans="2:8" ht="75">
      <c r="B36" s="30">
        <v>45831</v>
      </c>
      <c r="C36" s="31" t="str">
        <f t="shared" si="0"/>
        <v>Monday</v>
      </c>
      <c r="D36" s="38" t="s">
        <v>15</v>
      </c>
      <c r="E36" s="17" t="s">
        <v>33</v>
      </c>
      <c r="F36" s="29">
        <f>IF(Table13[[#This Row],[Work Done]]="WEEK OFF", "00:00", Table13[[#This Row],[Time Out]]-Table13[[#This Row],[Time In]])</f>
        <v>0.29166666666666669</v>
      </c>
      <c r="G36" s="28">
        <v>0.39583333333333331</v>
      </c>
      <c r="H36" s="29">
        <v>0.6875</v>
      </c>
    </row>
    <row r="37" spans="2:8" ht="90">
      <c r="B37" s="30">
        <v>45832</v>
      </c>
      <c r="C37" s="31" t="str">
        <f t="shared" si="0"/>
        <v>Tuesday</v>
      </c>
      <c r="D37" s="38" t="s">
        <v>15</v>
      </c>
      <c r="E37" s="17" t="s">
        <v>35</v>
      </c>
      <c r="F37" s="29">
        <f>IF(Table13[[#This Row],[Work Done]]="WEEK OFF", "00:00", Table13[[#This Row],[Time Out]]-Table13[[#This Row],[Time In]])</f>
        <v>0.39583333333333331</v>
      </c>
      <c r="G37" s="28">
        <v>0.39583333333333331</v>
      </c>
      <c r="H37" s="29">
        <v>0.79166666666666663</v>
      </c>
    </row>
    <row r="38" spans="2:8" ht="75">
      <c r="B38" s="30">
        <v>45833</v>
      </c>
      <c r="C38" s="17" t="str">
        <f t="shared" si="0"/>
        <v>Wednesday</v>
      </c>
      <c r="D38" s="40" t="s">
        <v>15</v>
      </c>
      <c r="E38" s="17" t="s">
        <v>34</v>
      </c>
      <c r="F38" s="29">
        <f>IF(Table13[[#This Row],[Work Done]]="WEEK OFF", "00:00", Table13[[#This Row],[Time Out]]-Table13[[#This Row],[Time In]])</f>
        <v>0.38541666666666669</v>
      </c>
      <c r="G38" s="28">
        <v>0.39583333333333331</v>
      </c>
      <c r="H38" s="29">
        <v>0.78125</v>
      </c>
    </row>
    <row r="39" spans="2:8" ht="90">
      <c r="B39" s="30">
        <v>45834</v>
      </c>
      <c r="C39" s="31" t="str">
        <f t="shared" si="0"/>
        <v>Thursday</v>
      </c>
      <c r="D39" s="38" t="s">
        <v>15</v>
      </c>
      <c r="E39" s="17" t="s">
        <v>39</v>
      </c>
      <c r="F39" s="29">
        <f>IF(Table13[[#This Row],[Work Done]]="WEEK OFF", "00:00", Table13[[#This Row],[Time Out]]-Table13[[#This Row],[Time In]])</f>
        <v>0.3888888888888889</v>
      </c>
      <c r="G39" s="28">
        <v>0.39583333333333331</v>
      </c>
      <c r="H39" s="29">
        <v>0.78472222222222221</v>
      </c>
    </row>
    <row r="40" spans="2:8" ht="60">
      <c r="B40" s="30">
        <v>45835</v>
      </c>
      <c r="C40" s="32" t="str">
        <f t="shared" si="0"/>
        <v>Friday</v>
      </c>
      <c r="D40" s="39" t="s">
        <v>15</v>
      </c>
      <c r="E40" s="17" t="s">
        <v>38</v>
      </c>
      <c r="F40" s="29">
        <f>IF(Table13[[#This Row],[Work Done]]="WEEK OFF", "00:00", Table13[[#This Row],[Time Out]]-Table13[[#This Row],[Time In]])</f>
        <v>0.37500000000000006</v>
      </c>
      <c r="G40" s="28">
        <v>0.39583333333333331</v>
      </c>
      <c r="H40" s="33">
        <v>0.77083333333333337</v>
      </c>
    </row>
    <row r="41" spans="2:8" ht="21" customHeight="1">
      <c r="B41" s="30">
        <v>45836</v>
      </c>
      <c r="C41" s="31" t="str">
        <f t="shared" si="0"/>
        <v>Saturday</v>
      </c>
      <c r="D41" s="38" t="s">
        <v>15</v>
      </c>
      <c r="E41" s="35" t="s">
        <v>41</v>
      </c>
      <c r="F41" s="29">
        <f>IF(Table13[[#This Row],[Work Done]]="WEEK OFF", "00:00", Table13[[#This Row],[Time Out]]-Table13[[#This Row],[Time In]])</f>
        <v>0</v>
      </c>
      <c r="G41" s="28">
        <v>0</v>
      </c>
      <c r="H41" s="29">
        <v>0</v>
      </c>
    </row>
    <row r="42" spans="2:8" ht="24" customHeight="1">
      <c r="B42" s="23">
        <v>45837</v>
      </c>
      <c r="C42" s="24" t="str">
        <f t="shared" si="0"/>
        <v>Sunday</v>
      </c>
      <c r="D42" s="38" t="s">
        <v>15</v>
      </c>
      <c r="E42" s="26" t="str">
        <f>IF(Table13[[#This Row],[Day]]="Sunday", "WEEK OFF"," " )</f>
        <v>WEEK OFF</v>
      </c>
      <c r="F42" s="27" t="str">
        <f>IF(Table13[[#This Row],[Work Done]]="WEEK OFF", "00:00", Table13[[#This Row],[Time Out]]-Table13[[#This Row],[Time In]])</f>
        <v>00:00</v>
      </c>
      <c r="G42" s="28">
        <v>0</v>
      </c>
      <c r="H42" s="29">
        <v>0</v>
      </c>
    </row>
    <row r="43" spans="2:8" ht="60">
      <c r="B43" s="30">
        <v>45838</v>
      </c>
      <c r="C43" s="31" t="str">
        <f t="shared" si="0"/>
        <v>Monday</v>
      </c>
      <c r="D43" s="38" t="s">
        <v>15</v>
      </c>
      <c r="E43" s="17" t="s">
        <v>40</v>
      </c>
      <c r="F43" s="29">
        <f>IF(Table13[[#This Row],[Work Done]]="WEEK OFF", "00:00", Table13[[#This Row],[Time Out]]-Table13[[#This Row],[Time In]])</f>
        <v>0.37500000000000006</v>
      </c>
      <c r="G43" s="28">
        <v>0.39583333333333331</v>
      </c>
      <c r="H43" s="29">
        <v>0.77083333333333337</v>
      </c>
    </row>
    <row r="44" spans="2:8" ht="20">
      <c r="E44" s="9" t="s">
        <v>13</v>
      </c>
      <c r="F44" s="11">
        <f>SUM(F14:F43)*24</f>
        <v>182.25000000000003</v>
      </c>
      <c r="G44" s="14" t="s">
        <v>12</v>
      </c>
      <c r="H44" s="16">
        <v>123</v>
      </c>
    </row>
    <row r="45" spans="2:8">
      <c r="G45" s="16">
        <v>1111</v>
      </c>
      <c r="H45" s="16">
        <v>123</v>
      </c>
    </row>
  </sheetData>
  <mergeCells count="10">
    <mergeCell ref="H6:H7"/>
    <mergeCell ref="B7:D7"/>
    <mergeCell ref="B9:D9"/>
    <mergeCell ref="C11:D11"/>
    <mergeCell ref="E11:F11"/>
    <mergeCell ref="B5:C5"/>
    <mergeCell ref="B6:D6"/>
    <mergeCell ref="E6:E7"/>
    <mergeCell ref="F6:F7"/>
    <mergeCell ref="G6:G7"/>
  </mergeCells>
  <conditionalFormatting sqref="B1:B1048576">
    <cfRule type="expression" dxfId="18" priority="6" stopIfTrue="1">
      <formula>"C14=""Sunday"""</formula>
    </cfRule>
  </conditionalFormatting>
  <conditionalFormatting sqref="C1:C15 C18:C29 C32:C37 C39:C1048576">
    <cfRule type="containsText" dxfId="17" priority="13" operator="containsText" text="Sunday">
      <formula>NOT(ISERROR(SEARCH("Sunday",C1)))</formula>
    </cfRule>
  </conditionalFormatting>
  <conditionalFormatting sqref="D15">
    <cfRule type="containsText" dxfId="16" priority="10" operator="containsText" text="Sunday">
      <formula>NOT(ISERROR(SEARCH("Sunday",D15)))</formula>
    </cfRule>
  </conditionalFormatting>
  <conditionalFormatting sqref="D18">
    <cfRule type="containsText" dxfId="15" priority="1" operator="containsText" text="Sunday">
      <formula>NOT(ISERROR(SEARCH("Sunday",D18)))</formula>
    </cfRule>
  </conditionalFormatting>
  <conditionalFormatting sqref="E1:E1048576">
    <cfRule type="containsText" dxfId="14" priority="9" operator="containsText" text="LEAVE ">
      <formula>NOT(ISERROR(SEARCH("LEAVE ",E1)))</formula>
    </cfRule>
    <cfRule type="containsText" dxfId="13" priority="12" operator="containsText" text="WEEK OFF">
      <formula>NOT(ISERROR(SEARCH("WEEK OFF",E1)))</formula>
    </cfRule>
  </conditionalFormatting>
  <conditionalFormatting sqref="F14:F44">
    <cfRule type="cellIs" dxfId="12" priority="11" operator="lessThan">
      <formula>0.013</formula>
    </cfRule>
  </conditionalFormatting>
  <conditionalFormatting sqref="G14:G45">
    <cfRule type="cellIs" dxfId="11" priority="4" operator="lessThan">
      <formula>0.0013</formula>
    </cfRule>
  </conditionalFormatting>
  <conditionalFormatting sqref="H13:H43">
    <cfRule type="cellIs" dxfId="10" priority="3" operator="lessThan">
      <formula>0.013</formula>
    </cfRule>
  </conditionalFormatting>
  <conditionalFormatting sqref="H44:H45">
    <cfRule type="cellIs" dxfId="9" priority="2" operator="lessThan">
      <formula>0.0013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- June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Jarolia</dc:creator>
  <cp:lastModifiedBy>Sanmanya Sharma</cp:lastModifiedBy>
  <dcterms:created xsi:type="dcterms:W3CDTF">2022-11-01T06:39:11Z</dcterms:created>
  <dcterms:modified xsi:type="dcterms:W3CDTF">2025-07-02T15:32:50Z</dcterms:modified>
</cp:coreProperties>
</file>